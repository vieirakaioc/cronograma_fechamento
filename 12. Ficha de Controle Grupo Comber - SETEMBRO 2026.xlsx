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61FA8E-6B07-4341-BE53-E60B9D0E3AD8}" xr6:coauthVersionLast="47" xr6:coauthVersionMax="47" xr10:uidLastSave="{00000000-0000-0000-0000-000000000000}"/>
  <bookViews>
    <workbookView xWindow="-28920" yWindow="-870" windowWidth="29040" windowHeight="15720" tabRatio="723" firstSheet="5" activeTab="12" xr2:uid="{920362AF-D7E1-454D-B021-C9F79DFF3D14}"/>
  </bookViews>
  <sheets>
    <sheet name="Principais Transações" sheetId="2" state="hidden" r:id="rId1"/>
    <sheet name="CAMINHOES (2)" sheetId="17" state="hidden" r:id="rId2"/>
    <sheet name="Resumo" sheetId="19" state="hidden" r:id="rId3"/>
    <sheet name="Resumo2" sheetId="21" state="hidden" r:id="rId4"/>
    <sheet name="Planilha1" sheetId="22" state="hidden" r:id="rId5"/>
    <sheet name="Consolidado- Comber" sheetId="18" r:id="rId6"/>
    <sheet name="HOLDING" sheetId="16" state="hidden" r:id="rId7"/>
    <sheet name="ListBox" sheetId="20" state="hidden" r:id="rId8"/>
    <sheet name="Cronograma Fechamento" sheetId="23" r:id="rId9"/>
    <sheet name="Planilha2" sheetId="27" state="hidden" r:id="rId10"/>
    <sheet name="Cards Fechamento" sheetId="25" r:id="rId11"/>
    <sheet name="Planilha3" sheetId="28" r:id="rId12"/>
    <sheet name="Fluxo no Tempo" sheetId="29" r:id="rId30"/>
    <sheet name="Texto E-mail" sheetId="26" state="hidden" r:id="rId13"/>
  </sheets>
  <definedNames>
    <definedName name="_xlnm._FilterDatabase" localSheetId="1" hidden="1">'CAMINHOES (2)'!$B$7:$G$7</definedName>
    <definedName name="_xlnm._FilterDatabase" localSheetId="5" hidden="1">'Consolidado- Comber'!$A$7:$O$146</definedName>
    <definedName name="_xlnm._FilterDatabase" localSheetId="6" hidden="1">HOLDING!$B$7:$K$7</definedName>
    <definedName name="_xlnm._FilterDatabase" localSheetId="7" hidden="1">ListBox!$A$1:$L$1</definedName>
    <definedName name="_xlnm.Print_Area" localSheetId="1">'CAMINHOES (2)'!$B$4:$H$27</definedName>
    <definedName name="_xlnm.Print_Area" localSheetId="5">'Consolidado- Comber'!$B$4:$I$12</definedName>
    <definedName name="_xlnm.Print_Area" localSheetId="6">HOLDING!$B$4:$L$27</definedName>
    <definedName name="_xlnm.Print_Titles" localSheetId="1">'CAMINHOES (2)'!$7:$7</definedName>
    <definedName name="_xlnm.Print_Titles" localSheetId="5">'Consolidado- Comber'!$7:$7</definedName>
    <definedName name="_xlnm.Print_Titles" localSheetId="6">HOLDING!$7:$7</definedName>
    <definedName name="Z_272DF0F8_FD24_44E3_94C1_386D78F5B3AD_.wvu.FilterData" localSheetId="1" hidden="1">'CAMINHOES (2)'!$B$7:$G$24</definedName>
    <definedName name="Z_272DF0F8_FD24_44E3_94C1_386D78F5B3AD_.wvu.FilterData" localSheetId="5" hidden="1">'Consolidado- Comber'!$B$7:$H$10</definedName>
    <definedName name="Z_272DF0F8_FD24_44E3_94C1_386D78F5B3AD_.wvu.FilterData" localSheetId="6" hidden="1">HOLDING!$B$7:$K$24</definedName>
    <definedName name="Z_272DF0F8_FD24_44E3_94C1_386D78F5B3AD_.wvu.PrintArea" localSheetId="1" hidden="1">'CAMINHOES (2)'!$B$5:$G$24</definedName>
    <definedName name="Z_272DF0F8_FD24_44E3_94C1_386D78F5B3AD_.wvu.PrintArea" localSheetId="5" hidden="1">'Consolidado- Comber'!$B$5:$H$10</definedName>
    <definedName name="Z_272DF0F8_FD24_44E3_94C1_386D78F5B3AD_.wvu.PrintArea" localSheetId="6" hidden="1">HOLDING!$B$5:$K$24</definedName>
    <definedName name="Z_272DF0F8_FD24_44E3_94C1_386D78F5B3AD_.wvu.PrintTitles" localSheetId="1" hidden="1">'CAMINHOES (2)'!$7:$7</definedName>
    <definedName name="Z_272DF0F8_FD24_44E3_94C1_386D78F5B3AD_.wvu.PrintTitles" localSheetId="5" hidden="1">'Consolidado- Comber'!$7:$7</definedName>
    <definedName name="Z_272DF0F8_FD24_44E3_94C1_386D78F5B3AD_.wvu.PrintTitles" localSheetId="6" hidden="1">HOLDING!$7:$7</definedName>
    <definedName name="Z_42C49DAE_241A_424C_BE16_164C8D1282F8_.wvu.FilterData" localSheetId="1" hidden="1">'CAMINHOES (2)'!$B$7:$G$24</definedName>
    <definedName name="Z_42C49DAE_241A_424C_BE16_164C8D1282F8_.wvu.FilterData" localSheetId="5" hidden="1">'Consolidado- Comber'!$B$7:$H$10</definedName>
    <definedName name="Z_42C49DAE_241A_424C_BE16_164C8D1282F8_.wvu.FilterData" localSheetId="6" hidden="1">HOLDING!$B$7:$K$24</definedName>
    <definedName name="Z_42C49DAE_241A_424C_BE16_164C8D1282F8_.wvu.PrintArea" localSheetId="1" hidden="1">'CAMINHOES (2)'!$B$5:$G$24</definedName>
    <definedName name="Z_42C49DAE_241A_424C_BE16_164C8D1282F8_.wvu.PrintArea" localSheetId="5" hidden="1">'Consolidado- Comber'!$B$5:$H$10</definedName>
    <definedName name="Z_42C49DAE_241A_424C_BE16_164C8D1282F8_.wvu.PrintArea" localSheetId="6" hidden="1">HOLDING!$B$5:$K$24</definedName>
    <definedName name="Z_42C49DAE_241A_424C_BE16_164C8D1282F8_.wvu.PrintTitles" localSheetId="1" hidden="1">'CAMINHOES (2)'!$7:$7</definedName>
    <definedName name="Z_42C49DAE_241A_424C_BE16_164C8D1282F8_.wvu.PrintTitles" localSheetId="5" hidden="1">'Consolidado- Comber'!$7:$7</definedName>
    <definedName name="Z_42C49DAE_241A_424C_BE16_164C8D1282F8_.wvu.PrintTitles" localSheetId="6" hidden="1">HOLDING!$7:$7</definedName>
    <definedName name="Z_4D056326_B166_40DC_9CDF_108A95914A41_.wvu.FilterData" localSheetId="1" hidden="1">'CAMINHOES (2)'!$B$7:$G$24</definedName>
    <definedName name="Z_4D056326_B166_40DC_9CDF_108A95914A41_.wvu.FilterData" localSheetId="5" hidden="1">'Consolidado- Comber'!$B$7:$H$10</definedName>
    <definedName name="Z_4D056326_B166_40DC_9CDF_108A95914A41_.wvu.FilterData" localSheetId="6" hidden="1">HOLDING!$B$7:$K$24</definedName>
    <definedName name="Z_4D056326_B166_40DC_9CDF_108A95914A41_.wvu.PrintArea" localSheetId="1" hidden="1">'CAMINHOES (2)'!$B$5:$G$24</definedName>
    <definedName name="Z_4D056326_B166_40DC_9CDF_108A95914A41_.wvu.PrintArea" localSheetId="5" hidden="1">'Consolidado- Comber'!$B$5:$H$10</definedName>
    <definedName name="Z_4D056326_B166_40DC_9CDF_108A95914A41_.wvu.PrintArea" localSheetId="6" hidden="1">HOLDING!$B$5:$K$24</definedName>
    <definedName name="Z_4D056326_B166_40DC_9CDF_108A95914A41_.wvu.PrintTitles" localSheetId="1" hidden="1">'CAMINHOES (2)'!$7:$7</definedName>
    <definedName name="Z_4D056326_B166_40DC_9CDF_108A95914A41_.wvu.PrintTitles" localSheetId="5" hidden="1">'Consolidado- Comber'!$7:$7</definedName>
    <definedName name="Z_4D056326_B166_40DC_9CDF_108A95914A41_.wvu.PrintTitles" localSheetId="6" hidden="1">HOLDING!$7:$7</definedName>
    <definedName name="Z_5AD48A4A_9E8D_47D6_BA73_A4462D3E98C0_.wvu.FilterData" localSheetId="1" hidden="1">'CAMINHOES (2)'!$B$7:$G$24</definedName>
    <definedName name="Z_5AD48A4A_9E8D_47D6_BA73_A4462D3E98C0_.wvu.FilterData" localSheetId="5" hidden="1">'Consolidado- Comber'!$B$7:$H$10</definedName>
    <definedName name="Z_5AD48A4A_9E8D_47D6_BA73_A4462D3E98C0_.wvu.FilterData" localSheetId="6" hidden="1">HOLDING!$B$7:$K$24</definedName>
    <definedName name="Z_5AD48A4A_9E8D_47D6_BA73_A4462D3E98C0_.wvu.PrintArea" localSheetId="1" hidden="1">'CAMINHOES (2)'!$B$5:$G$24</definedName>
    <definedName name="Z_5AD48A4A_9E8D_47D6_BA73_A4462D3E98C0_.wvu.PrintArea" localSheetId="5" hidden="1">'Consolidado- Comber'!$B$5:$H$10</definedName>
    <definedName name="Z_5AD48A4A_9E8D_47D6_BA73_A4462D3E98C0_.wvu.PrintArea" localSheetId="6" hidden="1">HOLDING!$B$5:$K$24</definedName>
    <definedName name="Z_5AD48A4A_9E8D_47D6_BA73_A4462D3E98C0_.wvu.PrintTitles" localSheetId="1" hidden="1">'CAMINHOES (2)'!$7:$7</definedName>
    <definedName name="Z_5AD48A4A_9E8D_47D6_BA73_A4462D3E98C0_.wvu.PrintTitles" localSheetId="5" hidden="1">'Consolidado- Comber'!$7:$7</definedName>
    <definedName name="Z_5AD48A4A_9E8D_47D6_BA73_A4462D3E98C0_.wvu.PrintTitles" localSheetId="6" hidden="1">HOLDING!$7:$7</definedName>
    <definedName name="Z_82D28B06_7129_4B14_BECA_4E1EF6D30C2C_.wvu.FilterData" localSheetId="1" hidden="1">'CAMINHOES (2)'!$B$7:$G$24</definedName>
    <definedName name="Z_82D28B06_7129_4B14_BECA_4E1EF6D30C2C_.wvu.FilterData" localSheetId="5" hidden="1">'Consolidado- Comber'!$B$7:$H$10</definedName>
    <definedName name="Z_82D28B06_7129_4B14_BECA_4E1EF6D30C2C_.wvu.FilterData" localSheetId="6" hidden="1">HOLDING!$B$7:$K$24</definedName>
    <definedName name="Z_82D28B06_7129_4B14_BECA_4E1EF6D30C2C_.wvu.PrintArea" localSheetId="1" hidden="1">'CAMINHOES (2)'!$B$5:$G$24</definedName>
    <definedName name="Z_82D28B06_7129_4B14_BECA_4E1EF6D30C2C_.wvu.PrintArea" localSheetId="5" hidden="1">'Consolidado- Comber'!$B$5:$H$10</definedName>
    <definedName name="Z_82D28B06_7129_4B14_BECA_4E1EF6D30C2C_.wvu.PrintArea" localSheetId="6" hidden="1">HOLDING!$B$5:$K$24</definedName>
    <definedName name="Z_82D28B06_7129_4B14_BECA_4E1EF6D30C2C_.wvu.PrintTitles" localSheetId="1" hidden="1">'CAMINHOES (2)'!$7:$7</definedName>
    <definedName name="Z_82D28B06_7129_4B14_BECA_4E1EF6D30C2C_.wvu.PrintTitles" localSheetId="5" hidden="1">'Consolidado- Comber'!$7:$7</definedName>
    <definedName name="Z_82D28B06_7129_4B14_BECA_4E1EF6D30C2C_.wvu.PrintTitles" localSheetId="6" hidden="1">HOLDING!$7:$7</definedName>
    <definedName name="Z_C85FEBD2_4F70_4E73_9DDF_3EF2B1B507C0_.wvu.FilterData" localSheetId="1" hidden="1">'CAMINHOES (2)'!$B$7:$G$24</definedName>
    <definedName name="Z_C85FEBD2_4F70_4E73_9DDF_3EF2B1B507C0_.wvu.FilterData" localSheetId="5" hidden="1">'Consolidado- Comber'!$B$7:$H$10</definedName>
    <definedName name="Z_C85FEBD2_4F70_4E73_9DDF_3EF2B1B507C0_.wvu.FilterData" localSheetId="6" hidden="1">HOLDING!$B$7:$K$24</definedName>
    <definedName name="Z_C85FEBD2_4F70_4E73_9DDF_3EF2B1B507C0_.wvu.PrintArea" localSheetId="1" hidden="1">'CAMINHOES (2)'!$B$5:$G$24</definedName>
    <definedName name="Z_C85FEBD2_4F70_4E73_9DDF_3EF2B1B507C0_.wvu.PrintArea" localSheetId="5" hidden="1">'Consolidado- Comber'!$B$5:$H$10</definedName>
    <definedName name="Z_C85FEBD2_4F70_4E73_9DDF_3EF2B1B507C0_.wvu.PrintArea" localSheetId="6" hidden="1">HOLDING!$B$5:$K$24</definedName>
    <definedName name="Z_C85FEBD2_4F70_4E73_9DDF_3EF2B1B507C0_.wvu.PrintTitles" localSheetId="1" hidden="1">'CAMINHOES (2)'!$7:$7</definedName>
    <definedName name="Z_C85FEBD2_4F70_4E73_9DDF_3EF2B1B507C0_.wvu.PrintTitles" localSheetId="5" hidden="1">'Consolidado- Comber'!$7:$7</definedName>
    <definedName name="Z_C85FEBD2_4F70_4E73_9DDF_3EF2B1B507C0_.wvu.PrintTitles" localSheetId="6" hidden="1">HOLDING!$7:$7</definedName>
  </definedNames>
  <calcPr calcId="191029" fullCalcOnLoad="1"/>
  <customWorkbookViews>
    <customWorkbookView name="Barros, Samuel {PI} - Modo de exibição pessoal" guid="{C85FEBD2-4F70-4E73-9DDF-3EF2B1B507C0}" mergeInterval="0" personalView="1" maximized="1" windowWidth="1362" windowHeight="547" tabRatio="287" activeSheetId="3"/>
    <customWorkbookView name="Hauer, Flavia {PI} - Modo de exibição pessoal" guid="{272DF0F8-FD24-44E3-94C1-386D78F5B3AD}" mergeInterval="0" personalView="1" maximized="1" windowWidth="1276" windowHeight="799" activeSheetId="1"/>
    <customWorkbookView name="Administrador - Modo de exibição pessoal" guid="{42C49DAE-241A-424C-BE16-164C8D1282F8}" mergeInterval="0" personalView="1" maximized="1" windowWidth="1362" windowHeight="518" activeSheetId="1"/>
    <customWorkbookView name="40125673 - Modo de exibição pessoal" guid="{82D28B06-7129-4B14-BECA-4E1EF6D30C2C}" mergeInterval="0" personalView="1" maximized="1" xWindow="1" yWindow="1" windowWidth="1020" windowHeight="529" activeSheetId="1"/>
    <customWorkbookView name="Ana.Paula - Modo de exibição pessoal" guid="{5AD48A4A-9E8D-47D6-BA73-A4462D3E98C0}" mergeInterval="0" personalView="1" maximized="1" xWindow="1" yWindow="1" windowWidth="1020" windowHeight="530" activeSheetId="1"/>
    <customWorkbookView name="40205357 - Modo de exibição pessoal" guid="{4D056326-B166-40DC-9CDF-108A95914A41}" mergeInterval="0" personalView="1" maximized="1" xWindow="1" yWindow="1" windowWidth="1276" windowHeight="773" tabRatio="346" activeSheetId="1"/>
  </customWorkbookViews>
  <pivotCaches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8" l="1"/>
  <c r="F4" i="28"/>
  <c r="I4" i="28" s="1"/>
  <c r="B6" i="26"/>
  <c r="B2" i="26"/>
  <c r="G27" i="23"/>
  <c r="F27" i="23" a="1"/>
  <c r="F26" i="23" s="1"/>
  <c r="G26" i="23"/>
  <c r="N27" i="25" s="1"/>
  <c r="G25" i="23"/>
  <c r="F25" i="23" a="1"/>
  <c r="F24" i="23" s="1"/>
  <c r="G24" i="23"/>
  <c r="J27" i="25" s="1"/>
  <c r="G23" i="23"/>
  <c r="F23" i="23" a="1"/>
  <c r="F22" i="23" s="1"/>
  <c r="G22" i="23"/>
  <c r="F27" i="25" s="1"/>
  <c r="G21" i="23"/>
  <c r="F21" i="23" a="1"/>
  <c r="F20" i="23" s="1"/>
  <c r="G20" i="23"/>
  <c r="B27" i="25" s="1"/>
  <c r="G19" i="23"/>
  <c r="F19" i="23" a="1"/>
  <c r="G18" i="23"/>
  <c r="F18" i="23" a="1"/>
  <c r="G17" i="23"/>
  <c r="F17" i="23" a="1"/>
  <c r="G16" i="23"/>
  <c r="F16" i="23" a="1"/>
  <c r="F15" i="23" s="1"/>
  <c r="G15" i="23"/>
  <c r="N17" i="25" s="1"/>
  <c r="G14" i="23"/>
  <c r="F14" i="23" a="1"/>
  <c r="F13" i="23" s="1"/>
  <c r="G13" i="23"/>
  <c r="J17" i="25" s="1"/>
  <c r="G12" i="23"/>
  <c r="F12" i="23" a="1"/>
  <c r="G11" i="23"/>
  <c r="F11" i="23" a="1"/>
  <c r="C11" i="23"/>
  <c r="B15" i="25" s="1"/>
  <c r="G10" i="23"/>
  <c r="F10" i="23" a="1"/>
  <c r="G9" i="23"/>
  <c r="F9" i="23" a="1"/>
  <c r="G8" i="23"/>
  <c r="F8" i="23" a="1"/>
  <c r="F7" i="23" s="1"/>
  <c r="G7" i="23"/>
  <c r="B2" i="23"/>
  <c r="A3" i="20"/>
  <c r="G2" i="20"/>
  <c r="D2" i="20"/>
  <c r="B2" i="20"/>
  <c r="A1" i="18"/>
  <c r="F31" i="21"/>
  <c r="F30" i="21"/>
  <c r="F29" i="21"/>
  <c r="F28" i="21"/>
  <c r="F27" i="21"/>
  <c r="F26" i="21"/>
  <c r="F25" i="21"/>
  <c r="F24" i="21"/>
  <c r="F23" i="21"/>
  <c r="F22" i="21"/>
  <c r="F21" i="21"/>
  <c r="F20" i="21"/>
  <c r="I19" i="21"/>
  <c r="F19" i="21"/>
  <c r="B3" i="19"/>
  <c r="N23" i="25"/>
  <c r="J23" i="25"/>
  <c r="F23" i="25"/>
  <c r="B23" i="25"/>
  <c r="N22" i="25"/>
  <c r="J22" i="25"/>
  <c r="F22" i="25"/>
  <c r="B22" i="25"/>
  <c r="N19" i="25"/>
  <c r="J19" i="25"/>
  <c r="F19" i="25"/>
  <c r="B19" i="25"/>
  <c r="N16" i="25"/>
  <c r="B16" i="25"/>
  <c r="N15" i="25"/>
  <c r="N14" i="25"/>
  <c r="B14" i="25"/>
  <c r="N13" i="25"/>
  <c r="B13" i="25"/>
  <c r="N12" i="25"/>
  <c r="B12" i="25"/>
  <c r="N11" i="25"/>
  <c r="B11" i="25"/>
  <c r="N10" i="25"/>
  <c r="J10" i="25"/>
  <c r="F10" i="25"/>
  <c r="B10" i="25"/>
  <c r="N9" i="25"/>
  <c r="J9" i="25"/>
  <c r="F9" i="25"/>
  <c r="B9" i="25"/>
  <c r="N6" i="25"/>
  <c r="J6" i="25"/>
  <c r="F6" i="25"/>
  <c r="B3" i="25"/>
  <c r="O4" i="28" l="1"/>
  <c r="R4" i="28"/>
  <c r="B29" i="25"/>
  <c r="F17" i="25"/>
  <c r="B17" i="25"/>
  <c r="A4" i="20"/>
  <c r="G3" i="20"/>
  <c r="D3" i="20"/>
  <c r="B3" i="20"/>
  <c r="E2" i="20"/>
  <c r="F2" i="20" s="1"/>
  <c r="H2" i="20" s="1"/>
  <c r="C2" i="20"/>
  <c r="B4" i="20" l="1"/>
  <c r="D4" i="20"/>
  <c r="A5" i="20"/>
  <c r="G4" i="20"/>
  <c r="C3" i="20"/>
  <c r="E3" i="20"/>
  <c r="F3" i="20" s="1"/>
  <c r="H3" i="20" s="1"/>
  <c r="C4" i="20" l="1"/>
  <c r="E4" i="20"/>
  <c r="F4" i="20" s="1"/>
  <c r="H4" i="20" s="1"/>
  <c r="B5" i="20"/>
  <c r="D5" i="20"/>
  <c r="G5" i="20"/>
  <c r="A6" i="20"/>
  <c r="C5" i="20" l="1"/>
  <c r="E5" i="20"/>
  <c r="F5" i="20" s="1"/>
  <c r="H5" i="20" s="1"/>
  <c r="B6" i="20"/>
  <c r="D6" i="20"/>
  <c r="G6" i="20"/>
  <c r="A7" i="20"/>
  <c r="C6" i="20" l="1"/>
  <c r="E6" i="20"/>
  <c r="F6" i="20" s="1"/>
  <c r="H6" i="20" s="1"/>
  <c r="B7" i="20"/>
  <c r="D7" i="20"/>
  <c r="G7" i="20"/>
  <c r="A8" i="20"/>
  <c r="C7" i="20" l="1"/>
  <c r="E7" i="20"/>
  <c r="F7" i="20" s="1"/>
  <c r="H7" i="20" s="1"/>
  <c r="B8" i="20"/>
  <c r="D8" i="20"/>
  <c r="G8" i="20"/>
  <c r="A9" i="20"/>
  <c r="C8" i="20" l="1"/>
  <c r="E8" i="20"/>
  <c r="F8" i="20" s="1"/>
  <c r="H8" i="20" s="1"/>
  <c r="B9" i="20"/>
  <c r="D9" i="20"/>
  <c r="G9" i="20"/>
  <c r="A10" i="20"/>
  <c r="C9" i="20" l="1"/>
  <c r="E9" i="20"/>
  <c r="F9" i="20" s="1"/>
  <c r="H9" i="20" s="1"/>
  <c r="B10" i="20"/>
  <c r="D10" i="20"/>
  <c r="G10" i="20"/>
  <c r="A11" i="20"/>
  <c r="C10" i="20" l="1"/>
  <c r="E10" i="20"/>
  <c r="F10" i="20" s="1"/>
  <c r="H10" i="20" s="1"/>
  <c r="B11" i="20"/>
  <c r="D11" i="20"/>
  <c r="G11" i="20"/>
  <c r="A12" i="20"/>
  <c r="C11" i="20" l="1"/>
  <c r="E11" i="20"/>
  <c r="F11" i="20" s="1"/>
  <c r="H11" i="20" s="1"/>
  <c r="B12" i="20"/>
  <c r="D12" i="20"/>
  <c r="G12" i="20"/>
  <c r="A13" i="20"/>
  <c r="C12" i="20" l="1"/>
  <c r="E12" i="20"/>
  <c r="F12" i="20" s="1"/>
  <c r="H12" i="20" s="1"/>
  <c r="B13" i="20"/>
  <c r="D13" i="20"/>
  <c r="G13" i="20"/>
  <c r="A14" i="20"/>
  <c r="C13" i="20" l="1"/>
  <c r="E13" i="20"/>
  <c r="F13" i="20" s="1"/>
  <c r="H13" i="20" s="1"/>
  <c r="B14" i="20"/>
  <c r="D14" i="20"/>
  <c r="G14" i="20"/>
  <c r="A15" i="20"/>
  <c r="C14" i="20" l="1"/>
  <c r="E14" i="20"/>
  <c r="F14" i="20" s="1"/>
  <c r="H14" i="20" s="1"/>
  <c r="B15" i="20"/>
  <c r="D15" i="20"/>
  <c r="G15" i="20"/>
  <c r="A16" i="20"/>
  <c r="C15" i="20" l="1"/>
  <c r="E15" i="20"/>
  <c r="F15" i="20" s="1"/>
  <c r="H15" i="20" s="1"/>
  <c r="B16" i="20"/>
  <c r="D16" i="20"/>
  <c r="G16" i="20"/>
  <c r="A17" i="20"/>
  <c r="C16" i="20" l="1"/>
  <c r="E16" i="20"/>
  <c r="F16" i="20" s="1"/>
  <c r="H16" i="20" s="1"/>
  <c r="B17" i="20"/>
  <c r="D17" i="20"/>
  <c r="G17" i="20"/>
  <c r="A18" i="20"/>
  <c r="C17" i="20" l="1"/>
  <c r="E17" i="20"/>
  <c r="F17" i="20" s="1"/>
  <c r="H17" i="20" s="1"/>
  <c r="B18" i="20"/>
  <c r="D18" i="20"/>
  <c r="G18" i="20"/>
  <c r="A19" i="20"/>
  <c r="C18" i="20" l="1"/>
  <c r="E18" i="20"/>
  <c r="F18" i="20" s="1"/>
  <c r="H18" i="20" s="1"/>
  <c r="B19" i="20"/>
  <c r="D19" i="20"/>
  <c r="G19" i="20"/>
  <c r="A20" i="20"/>
  <c r="C19" i="20" l="1"/>
  <c r="E19" i="20"/>
  <c r="F19" i="20" s="1"/>
  <c r="H19" i="20" s="1"/>
  <c r="B20" i="20"/>
  <c r="D20" i="20"/>
  <c r="G20" i="20"/>
  <c r="A21" i="20"/>
  <c r="C20" i="20" l="1"/>
  <c r="E20" i="20"/>
  <c r="F20" i="20" s="1"/>
  <c r="H20" i="20" s="1"/>
  <c r="B21" i="20"/>
  <c r="D21" i="20"/>
  <c r="G21" i="20"/>
  <c r="A22" i="20"/>
  <c r="C21" i="20" l="1"/>
  <c r="E21" i="20"/>
  <c r="F21" i="20" s="1"/>
  <c r="H21" i="20" s="1"/>
  <c r="B22" i="20"/>
  <c r="D22" i="20"/>
  <c r="G22" i="20"/>
  <c r="A23" i="20"/>
  <c r="C22" i="20" l="1"/>
  <c r="E22" i="20"/>
  <c r="F22" i="20" s="1"/>
  <c r="H22" i="20" s="1"/>
  <c r="B23" i="20"/>
  <c r="D23" i="20"/>
  <c r="G23" i="20"/>
  <c r="A24" i="20"/>
  <c r="C23" i="20" l="1"/>
  <c r="E23" i="20"/>
  <c r="F23" i="20" s="1"/>
  <c r="H23" i="20" s="1"/>
  <c r="B24" i="20"/>
  <c r="D24" i="20"/>
  <c r="G24" i="20"/>
  <c r="A25" i="20"/>
  <c r="C24" i="20" l="1"/>
  <c r="E24" i="20"/>
  <c r="F24" i="20" s="1"/>
  <c r="H24" i="20" s="1"/>
  <c r="B25" i="20"/>
  <c r="D25" i="20"/>
  <c r="G25" i="20"/>
  <c r="A26" i="20"/>
  <c r="C25" i="20" l="1"/>
  <c r="E25" i="20"/>
  <c r="F25" i="20" s="1"/>
  <c r="H25" i="20" s="1"/>
  <c r="B26" i="20"/>
  <c r="D26" i="20"/>
  <c r="G26" i="20"/>
  <c r="A27" i="20"/>
  <c r="C26" i="20" l="1"/>
  <c r="E26" i="20"/>
  <c r="F26" i="20" s="1"/>
  <c r="H26" i="20" s="1"/>
  <c r="B27" i="20"/>
  <c r="D27" i="20"/>
  <c r="G27" i="20"/>
  <c r="A28" i="20"/>
  <c r="C27" i="20" l="1"/>
  <c r="E27" i="20"/>
  <c r="F27" i="20" s="1"/>
  <c r="H27" i="20" s="1"/>
  <c r="B28" i="20"/>
  <c r="D28" i="20"/>
  <c r="G28" i="20"/>
  <c r="A29" i="20"/>
  <c r="C28" i="20" l="1"/>
  <c r="E28" i="20"/>
  <c r="F28" i="20" s="1"/>
  <c r="H28" i="20" s="1"/>
  <c r="B29" i="20"/>
  <c r="D29" i="20"/>
  <c r="G29" i="20"/>
  <c r="A30" i="20"/>
  <c r="C29" i="20" l="1"/>
  <c r="E29" i="20"/>
  <c r="F29" i="20" s="1"/>
  <c r="H29" i="20" s="1"/>
  <c r="B30" i="20"/>
  <c r="D30" i="20"/>
  <c r="G30" i="20"/>
  <c r="A31" i="20"/>
  <c r="C30" i="20" l="1"/>
  <c r="E30" i="20"/>
  <c r="F30" i="20" s="1"/>
  <c r="H30" i="20" s="1"/>
  <c r="B31" i="20"/>
  <c r="D31" i="20"/>
  <c r="G31" i="20"/>
  <c r="A32" i="20"/>
  <c r="C31" i="20" l="1"/>
  <c r="E31" i="20"/>
  <c r="F31" i="20" s="1"/>
  <c r="H31" i="20" s="1"/>
  <c r="B32" i="20"/>
  <c r="D32" i="20"/>
  <c r="G32" i="20"/>
  <c r="A33" i="20"/>
  <c r="C32" i="20" l="1"/>
  <c r="E32" i="20"/>
  <c r="F32" i="20" s="1"/>
  <c r="H32" i="20" s="1"/>
  <c r="B33" i="20"/>
  <c r="D33" i="20"/>
  <c r="G33" i="20"/>
  <c r="A34" i="20"/>
  <c r="C33" i="20" l="1"/>
  <c r="E33" i="20"/>
  <c r="F33" i="20" s="1"/>
  <c r="H33" i="20" s="1"/>
  <c r="B34" i="20"/>
  <c r="D34" i="20"/>
  <c r="G34" i="20"/>
  <c r="A35" i="20"/>
  <c r="C34" i="20" l="1"/>
  <c r="E34" i="20"/>
  <c r="F34" i="20" s="1"/>
  <c r="H34" i="20" s="1"/>
  <c r="B35" i="20"/>
  <c r="D35" i="20"/>
  <c r="G35" i="20"/>
  <c r="A36" i="20"/>
  <c r="C35" i="20" l="1"/>
  <c r="E35" i="20"/>
  <c r="F35" i="20" s="1"/>
  <c r="H35" i="20" s="1"/>
  <c r="B36" i="20"/>
  <c r="D36" i="20"/>
  <c r="G36" i="20"/>
  <c r="A37" i="20"/>
  <c r="C36" i="20" l="1"/>
  <c r="E36" i="20"/>
  <c r="F36" i="20" s="1"/>
  <c r="H36" i="20" s="1"/>
  <c r="B37" i="20"/>
  <c r="D37" i="20"/>
  <c r="G37" i="20"/>
  <c r="A38" i="20"/>
  <c r="C37" i="20" l="1"/>
  <c r="E37" i="20"/>
  <c r="F37" i="20" s="1"/>
  <c r="H37" i="20" s="1"/>
  <c r="B38" i="20"/>
  <c r="D38" i="20"/>
  <c r="G38" i="20"/>
  <c r="A39" i="20"/>
  <c r="C38" i="20" l="1"/>
  <c r="E38" i="20"/>
  <c r="F38" i="20" s="1"/>
  <c r="H38" i="20" s="1"/>
  <c r="B39" i="20"/>
  <c r="D39" i="20"/>
  <c r="G39" i="20"/>
  <c r="A40" i="20"/>
  <c r="C39" i="20" l="1"/>
  <c r="E39" i="20"/>
  <c r="F39" i="20" s="1"/>
  <c r="H39" i="20" s="1"/>
  <c r="B40" i="20"/>
  <c r="D40" i="20"/>
  <c r="G40" i="20"/>
  <c r="A41" i="20"/>
  <c r="C40" i="20" l="1"/>
  <c r="E40" i="20"/>
  <c r="F40" i="20" s="1"/>
  <c r="H40" i="20" s="1"/>
  <c r="B41" i="20"/>
  <c r="D41" i="20"/>
  <c r="G41" i="20"/>
  <c r="A42" i="20"/>
  <c r="C41" i="20" l="1"/>
  <c r="E41" i="20"/>
  <c r="F41" i="20" s="1"/>
  <c r="H41" i="20" s="1"/>
  <c r="B42" i="20"/>
  <c r="D42" i="20"/>
  <c r="G42" i="20"/>
  <c r="A43" i="20"/>
  <c r="C42" i="20" l="1"/>
  <c r="E42" i="20"/>
  <c r="F42" i="20" s="1"/>
  <c r="H42" i="20" s="1"/>
  <c r="B43" i="20"/>
  <c r="D43" i="20"/>
  <c r="G43" i="20"/>
  <c r="A44" i="20"/>
  <c r="C43" i="20" l="1"/>
  <c r="E43" i="20"/>
  <c r="F43" i="20" s="1"/>
  <c r="H43" i="20" s="1"/>
  <c r="B44" i="20"/>
  <c r="D44" i="20"/>
  <c r="G44" i="20"/>
  <c r="A45" i="20"/>
  <c r="C44" i="20" l="1"/>
  <c r="E44" i="20"/>
  <c r="F44" i="20" s="1"/>
  <c r="H44" i="20" s="1"/>
  <c r="B45" i="20"/>
  <c r="D45" i="20"/>
  <c r="G45" i="20"/>
  <c r="A46" i="20"/>
  <c r="C45" i="20" l="1"/>
  <c r="E45" i="20"/>
  <c r="F45" i="20" s="1"/>
  <c r="H45" i="20" s="1"/>
  <c r="B46" i="20"/>
  <c r="D46" i="20"/>
  <c r="G46" i="20"/>
  <c r="A47" i="20"/>
  <c r="C46" i="20" l="1"/>
  <c r="E46" i="20"/>
  <c r="F46" i="20" s="1"/>
  <c r="H46" i="20" s="1"/>
  <c r="B47" i="20"/>
  <c r="D47" i="20"/>
  <c r="G47" i="20"/>
  <c r="A48" i="20"/>
  <c r="C47" i="20" l="1"/>
  <c r="E47" i="20"/>
  <c r="F47" i="20" s="1"/>
  <c r="H47" i="20" s="1"/>
  <c r="B48" i="20"/>
  <c r="D48" i="20"/>
  <c r="G48" i="20"/>
  <c r="A49" i="20"/>
  <c r="C48" i="20" l="1"/>
  <c r="E48" i="20"/>
  <c r="F48" i="20" s="1"/>
  <c r="H48" i="20" s="1"/>
  <c r="B49" i="20"/>
  <c r="D49" i="20"/>
  <c r="G49" i="20"/>
  <c r="A50" i="20"/>
  <c r="C49" i="20" l="1"/>
  <c r="E49" i="20"/>
  <c r="F49" i="20" s="1"/>
  <c r="H49" i="20" s="1"/>
  <c r="B50" i="20"/>
  <c r="D50" i="20"/>
  <c r="G50" i="20"/>
  <c r="A51" i="20"/>
  <c r="C50" i="20" l="1"/>
  <c r="E50" i="20"/>
  <c r="F50" i="20" s="1"/>
  <c r="H50" i="20" s="1"/>
  <c r="B51" i="20"/>
  <c r="D51" i="20"/>
  <c r="G51" i="20"/>
  <c r="A52" i="20"/>
  <c r="C51" i="20" l="1"/>
  <c r="E51" i="20"/>
  <c r="F51" i="20" s="1"/>
  <c r="H51" i="20" s="1"/>
  <c r="B52" i="20"/>
  <c r="D52" i="20"/>
  <c r="G52" i="20"/>
  <c r="A53" i="20"/>
  <c r="C52" i="20" l="1"/>
  <c r="E52" i="20"/>
  <c r="F52" i="20" s="1"/>
  <c r="H52" i="20" s="1"/>
  <c r="B53" i="20"/>
  <c r="D53" i="20"/>
  <c r="G53" i="20"/>
  <c r="A54" i="20"/>
  <c r="C53" i="20" l="1"/>
  <c r="E53" i="20"/>
  <c r="F53" i="20" s="1"/>
  <c r="H53" i="20" s="1"/>
  <c r="B54" i="20"/>
  <c r="D54" i="20"/>
  <c r="G54" i="20"/>
  <c r="A55" i="20"/>
  <c r="C54" i="20" l="1"/>
  <c r="E54" i="20"/>
  <c r="F54" i="20" s="1"/>
  <c r="H54" i="20" s="1"/>
  <c r="B55" i="20"/>
  <c r="D55" i="20"/>
  <c r="G55" i="20"/>
  <c r="A56" i="20"/>
  <c r="C55" i="20" l="1"/>
  <c r="E55" i="20"/>
  <c r="F55" i="20" s="1"/>
  <c r="H55" i="20" s="1"/>
  <c r="B56" i="20"/>
  <c r="D56" i="20"/>
  <c r="G56" i="20"/>
  <c r="A57" i="20"/>
  <c r="C56" i="20" l="1"/>
  <c r="E56" i="20"/>
  <c r="F56" i="20" s="1"/>
  <c r="H56" i="20" s="1"/>
  <c r="B57" i="20"/>
  <c r="D57" i="20"/>
  <c r="G57" i="20"/>
  <c r="A58" i="20"/>
  <c r="C57" i="20" l="1"/>
  <c r="E57" i="20"/>
  <c r="F57" i="20" s="1"/>
  <c r="H57" i="20" s="1"/>
  <c r="B58" i="20"/>
  <c r="D58" i="20"/>
  <c r="G58" i="20"/>
  <c r="A59" i="20"/>
  <c r="C58" i="20" l="1"/>
  <c r="E58" i="20"/>
  <c r="F58" i="20" s="1"/>
  <c r="H58" i="20" s="1"/>
  <c r="B59" i="20"/>
  <c r="D59" i="20"/>
  <c r="G59" i="20"/>
  <c r="A60" i="20"/>
  <c r="C59" i="20" l="1"/>
  <c r="E59" i="20"/>
  <c r="F59" i="20" s="1"/>
  <c r="H59" i="20" s="1"/>
  <c r="B60" i="20"/>
  <c r="D60" i="20"/>
  <c r="G60" i="20"/>
  <c r="A61" i="20"/>
  <c r="C60" i="20" l="1"/>
  <c r="E60" i="20"/>
  <c r="F60" i="20" s="1"/>
  <c r="H60" i="20" s="1"/>
  <c r="B61" i="20"/>
  <c r="D61" i="20"/>
  <c r="G61" i="20"/>
  <c r="A62" i="20"/>
  <c r="C61" i="20" l="1"/>
  <c r="E61" i="20"/>
  <c r="F61" i="20" s="1"/>
  <c r="H61" i="20" s="1"/>
  <c r="B62" i="20"/>
  <c r="D62" i="20"/>
  <c r="G62" i="20"/>
  <c r="A63" i="20"/>
  <c r="C62" i="20" l="1"/>
  <c r="E62" i="20"/>
  <c r="F62" i="20" s="1"/>
  <c r="H62" i="20" s="1"/>
  <c r="B63" i="20"/>
  <c r="D63" i="20"/>
  <c r="G63" i="20"/>
  <c r="A64" i="20"/>
  <c r="C63" i="20" l="1"/>
  <c r="E63" i="20"/>
  <c r="F63" i="20" s="1"/>
  <c r="H63" i="20" s="1"/>
  <c r="B64" i="20"/>
  <c r="D64" i="20"/>
  <c r="G64" i="20"/>
  <c r="A65" i="20"/>
  <c r="C64" i="20" l="1"/>
  <c r="E64" i="20"/>
  <c r="F64" i="20" s="1"/>
  <c r="H64" i="20" s="1"/>
  <c r="B65" i="20"/>
  <c r="D65" i="20"/>
  <c r="G65" i="20"/>
  <c r="A66" i="20"/>
  <c r="C65" i="20" l="1"/>
  <c r="E65" i="20"/>
  <c r="F65" i="20" s="1"/>
  <c r="H65" i="20" s="1"/>
  <c r="B66" i="20"/>
  <c r="D66" i="20"/>
  <c r="G66" i="20"/>
  <c r="A67" i="20"/>
  <c r="C66" i="20" l="1"/>
  <c r="E66" i="20"/>
  <c r="F66" i="20" s="1"/>
  <c r="H66" i="20" s="1"/>
  <c r="B67" i="20"/>
  <c r="D67" i="20"/>
  <c r="G67" i="20"/>
  <c r="A68" i="20"/>
  <c r="C67" i="20" l="1"/>
  <c r="E67" i="20"/>
  <c r="F67" i="20" s="1"/>
  <c r="H67" i="20" s="1"/>
  <c r="B68" i="20"/>
  <c r="D68" i="20"/>
  <c r="G68" i="20"/>
  <c r="A69" i="20"/>
  <c r="C68" i="20" l="1"/>
  <c r="E68" i="20"/>
  <c r="F68" i="20" s="1"/>
  <c r="H68" i="20" s="1"/>
  <c r="B69" i="20"/>
  <c r="D69" i="20"/>
  <c r="G69" i="20"/>
  <c r="A70" i="20"/>
  <c r="C69" i="20" l="1"/>
  <c r="E69" i="20"/>
  <c r="F69" i="20" s="1"/>
  <c r="H69" i="20" s="1"/>
  <c r="B70" i="20"/>
  <c r="D70" i="20"/>
  <c r="G70" i="20"/>
  <c r="A71" i="20"/>
  <c r="C70" i="20" l="1"/>
  <c r="E70" i="20"/>
  <c r="F70" i="20" s="1"/>
  <c r="H70" i="20" s="1"/>
  <c r="B71" i="20"/>
  <c r="D71" i="20"/>
  <c r="G71" i="20"/>
  <c r="A72" i="20"/>
  <c r="C71" i="20" l="1"/>
  <c r="E71" i="20"/>
  <c r="F71" i="20" s="1"/>
  <c r="H71" i="20" s="1"/>
  <c r="B72" i="20"/>
  <c r="D72" i="20"/>
  <c r="G72" i="20"/>
  <c r="A73" i="20"/>
  <c r="C72" i="20" l="1"/>
  <c r="E72" i="20"/>
  <c r="F72" i="20" s="1"/>
  <c r="H72" i="20" s="1"/>
  <c r="B73" i="20"/>
  <c r="D73" i="20"/>
  <c r="G73" i="20"/>
  <c r="A74" i="20"/>
  <c r="C73" i="20" l="1"/>
  <c r="E73" i="20"/>
  <c r="F73" i="20" s="1"/>
  <c r="H73" i="20" s="1"/>
  <c r="B74" i="20"/>
  <c r="D74" i="20"/>
  <c r="G74" i="20"/>
  <c r="A75" i="20"/>
  <c r="C74" i="20" l="1"/>
  <c r="E74" i="20"/>
  <c r="F74" i="20" s="1"/>
  <c r="H74" i="20" s="1"/>
  <c r="B75" i="20"/>
  <c r="D75" i="20"/>
  <c r="G75" i="20"/>
  <c r="A76" i="20"/>
  <c r="C75" i="20" l="1"/>
  <c r="E75" i="20"/>
  <c r="F75" i="20" s="1"/>
  <c r="H75" i="20" s="1"/>
  <c r="B76" i="20"/>
  <c r="D76" i="20"/>
  <c r="G76" i="20"/>
  <c r="A77" i="20"/>
  <c r="C76" i="20" l="1"/>
  <c r="E76" i="20"/>
  <c r="F76" i="20" s="1"/>
  <c r="H76" i="20" s="1"/>
  <c r="B77" i="20"/>
  <c r="D77" i="20"/>
  <c r="G77" i="20"/>
  <c r="A78" i="20"/>
  <c r="C77" i="20" l="1"/>
  <c r="E77" i="20"/>
  <c r="F77" i="20" s="1"/>
  <c r="H77" i="20" s="1"/>
  <c r="B78" i="20"/>
  <c r="D78" i="20"/>
  <c r="G78" i="20"/>
  <c r="A79" i="20"/>
  <c r="C78" i="20" l="1"/>
  <c r="E78" i="20"/>
  <c r="F78" i="20" s="1"/>
  <c r="H78" i="20" s="1"/>
  <c r="B79" i="20"/>
  <c r="D79" i="20"/>
  <c r="G79" i="20"/>
  <c r="A80" i="20"/>
  <c r="C79" i="20" l="1"/>
  <c r="E79" i="20"/>
  <c r="F79" i="20" s="1"/>
  <c r="H79" i="20" s="1"/>
  <c r="B80" i="20"/>
  <c r="D80" i="20"/>
  <c r="G80" i="20"/>
  <c r="A81" i="20"/>
  <c r="C80" i="20" l="1"/>
  <c r="E80" i="20"/>
  <c r="F80" i="20" s="1"/>
  <c r="H80" i="20" s="1"/>
  <c r="B81" i="20"/>
  <c r="D81" i="20"/>
  <c r="G81" i="20"/>
  <c r="A82" i="20"/>
  <c r="C81" i="20" l="1"/>
  <c r="E81" i="20"/>
  <c r="F81" i="20" s="1"/>
  <c r="H81" i="20" s="1"/>
  <c r="B82" i="20"/>
  <c r="D82" i="20"/>
  <c r="G82" i="20"/>
  <c r="A83" i="20"/>
  <c r="C82" i="20" l="1"/>
  <c r="E82" i="20"/>
  <c r="F82" i="20" s="1"/>
  <c r="H82" i="20" s="1"/>
  <c r="B83" i="20"/>
  <c r="D83" i="20"/>
  <c r="G83" i="20"/>
  <c r="A84" i="20"/>
  <c r="C83" i="20" l="1"/>
  <c r="E83" i="20"/>
  <c r="F83" i="20" s="1"/>
  <c r="H83" i="20" s="1"/>
  <c r="B84" i="20"/>
  <c r="D84" i="20"/>
  <c r="G84" i="20"/>
  <c r="A85" i="20"/>
  <c r="C84" i="20" l="1"/>
  <c r="E84" i="20"/>
  <c r="F84" i="20" s="1"/>
  <c r="H84" i="20" s="1"/>
  <c r="B85" i="20"/>
  <c r="D85" i="20"/>
  <c r="G85" i="20"/>
  <c r="A86" i="20"/>
  <c r="C85" i="20" l="1"/>
  <c r="E85" i="20"/>
  <c r="F85" i="20" s="1"/>
  <c r="H85" i="20" s="1"/>
  <c r="B86" i="20"/>
  <c r="D86" i="20"/>
  <c r="G86" i="20"/>
  <c r="A87" i="20"/>
  <c r="C86" i="20" l="1"/>
  <c r="E86" i="20"/>
  <c r="F86" i="20" s="1"/>
  <c r="H86" i="20" s="1"/>
  <c r="B87" i="20"/>
  <c r="D87" i="20"/>
  <c r="G87" i="20"/>
  <c r="A88" i="20"/>
  <c r="C87" i="20" l="1"/>
  <c r="E87" i="20"/>
  <c r="F87" i="20" s="1"/>
  <c r="H87" i="20" s="1"/>
  <c r="B88" i="20"/>
  <c r="D88" i="20"/>
  <c r="G88" i="20"/>
  <c r="A89" i="20"/>
  <c r="C88" i="20" l="1"/>
  <c r="E88" i="20"/>
  <c r="F88" i="20" s="1"/>
  <c r="H88" i="20" s="1"/>
  <c r="B89" i="20"/>
  <c r="D89" i="20"/>
  <c r="G89" i="20"/>
  <c r="A90" i="20"/>
  <c r="C89" i="20" l="1"/>
  <c r="E89" i="20"/>
  <c r="F89" i="20" s="1"/>
  <c r="H89" i="20" s="1"/>
  <c r="B90" i="20"/>
  <c r="D90" i="20"/>
  <c r="G90" i="20"/>
  <c r="A91" i="20"/>
  <c r="C90" i="20" l="1"/>
  <c r="E90" i="20"/>
  <c r="F90" i="20" s="1"/>
  <c r="H90" i="20" s="1"/>
  <c r="B91" i="20"/>
  <c r="D91" i="20"/>
  <c r="G91" i="20"/>
  <c r="A92" i="20"/>
  <c r="C91" i="20" l="1"/>
  <c r="E91" i="20"/>
  <c r="F91" i="20" s="1"/>
  <c r="H91" i="20" s="1"/>
  <c r="B92" i="20"/>
  <c r="D92" i="20"/>
  <c r="G92" i="20"/>
  <c r="A93" i="20"/>
  <c r="C92" i="20" l="1"/>
  <c r="E92" i="20"/>
  <c r="F92" i="20" s="1"/>
  <c r="H92" i="20" s="1"/>
  <c r="B93" i="20"/>
  <c r="D93" i="20"/>
  <c r="G93" i="20"/>
  <c r="A94" i="20"/>
  <c r="C93" i="20" l="1"/>
  <c r="E93" i="20"/>
  <c r="F93" i="20" s="1"/>
  <c r="H93" i="20" s="1"/>
  <c r="B94" i="20"/>
  <c r="D94" i="20"/>
  <c r="G94" i="20"/>
  <c r="A95" i="20"/>
  <c r="C94" i="20" l="1"/>
  <c r="E94" i="20"/>
  <c r="F94" i="20" s="1"/>
  <c r="H94" i="20" s="1"/>
  <c r="B95" i="20"/>
  <c r="D95" i="20"/>
  <c r="G95" i="20"/>
  <c r="A96" i="20"/>
  <c r="C95" i="20" l="1"/>
  <c r="E95" i="20"/>
  <c r="F95" i="20" s="1"/>
  <c r="H95" i="20" s="1"/>
  <c r="B96" i="20"/>
  <c r="D96" i="20"/>
  <c r="G96" i="20"/>
  <c r="A97" i="20"/>
  <c r="C96" i="20" l="1"/>
  <c r="E96" i="20"/>
  <c r="F96" i="20" s="1"/>
  <c r="H96" i="20" s="1"/>
  <c r="B97" i="20"/>
  <c r="D97" i="20"/>
  <c r="G97" i="20"/>
  <c r="A98" i="20"/>
  <c r="C97" i="20" l="1"/>
  <c r="E97" i="20"/>
  <c r="F97" i="20" s="1"/>
  <c r="H97" i="20" s="1"/>
  <c r="B98" i="20"/>
  <c r="D98" i="20"/>
  <c r="G98" i="20"/>
  <c r="A99" i="20"/>
  <c r="C98" i="20" l="1"/>
  <c r="E98" i="20"/>
  <c r="F98" i="20" s="1"/>
  <c r="H98" i="20" s="1"/>
  <c r="B99" i="20"/>
  <c r="D99" i="20"/>
  <c r="G99" i="20"/>
  <c r="A100" i="20"/>
  <c r="C99" i="20" l="1"/>
  <c r="E99" i="20"/>
  <c r="F99" i="20" s="1"/>
  <c r="H99" i="20" s="1"/>
  <c r="B100" i="20"/>
  <c r="D100" i="20"/>
  <c r="G100" i="20"/>
  <c r="A101" i="20"/>
  <c r="C100" i="20" l="1"/>
  <c r="E100" i="20"/>
  <c r="F100" i="20" s="1"/>
  <c r="H100" i="20" s="1"/>
  <c r="B101" i="20"/>
  <c r="D101" i="20"/>
  <c r="G101" i="20"/>
  <c r="A102" i="20"/>
  <c r="C101" i="20" l="1"/>
  <c r="E101" i="20"/>
  <c r="F101" i="20" s="1"/>
  <c r="H101" i="20" s="1"/>
  <c r="B102" i="20"/>
  <c r="D102" i="20"/>
  <c r="G102" i="20"/>
  <c r="A103" i="20"/>
  <c r="C102" i="20" l="1"/>
  <c r="E102" i="20"/>
  <c r="F102" i="20" s="1"/>
  <c r="H102" i="20" s="1"/>
  <c r="B103" i="20"/>
  <c r="D103" i="20"/>
  <c r="G103" i="20"/>
  <c r="A104" i="20"/>
  <c r="C103" i="20" l="1"/>
  <c r="E103" i="20"/>
  <c r="F103" i="20" s="1"/>
  <c r="H103" i="20" s="1"/>
  <c r="B104" i="20"/>
  <c r="D104" i="20"/>
  <c r="G104" i="20"/>
  <c r="A105" i="20"/>
  <c r="C104" i="20" l="1"/>
  <c r="E104" i="20"/>
  <c r="F104" i="20" s="1"/>
  <c r="H104" i="20" s="1"/>
  <c r="B105" i="20"/>
  <c r="D105" i="20"/>
  <c r="G105" i="20"/>
  <c r="A106" i="20"/>
  <c r="C105" i="20" l="1"/>
  <c r="E105" i="20"/>
  <c r="F105" i="20" s="1"/>
  <c r="H105" i="20" s="1"/>
  <c r="B106" i="20"/>
  <c r="D106" i="20"/>
  <c r="G106" i="20"/>
  <c r="A107" i="20"/>
  <c r="C106" i="20" l="1"/>
  <c r="E106" i="20"/>
  <c r="F106" i="20" s="1"/>
  <c r="H106" i="20" s="1"/>
  <c r="B107" i="20"/>
  <c r="D107" i="20"/>
  <c r="G107" i="20"/>
  <c r="A108" i="20"/>
  <c r="C107" i="20" l="1"/>
  <c r="E107" i="20"/>
  <c r="F107" i="20" s="1"/>
  <c r="H107" i="20" s="1"/>
  <c r="B108" i="20"/>
  <c r="D108" i="20"/>
  <c r="G108" i="20"/>
  <c r="A109" i="20"/>
  <c r="C108" i="20" l="1"/>
  <c r="E108" i="20"/>
  <c r="F108" i="20" s="1"/>
  <c r="H108" i="20" s="1"/>
  <c r="B109" i="20"/>
  <c r="D109" i="20"/>
  <c r="G109" i="20"/>
  <c r="A110" i="20"/>
  <c r="C109" i="20" l="1"/>
  <c r="E109" i="20"/>
  <c r="F109" i="20" s="1"/>
  <c r="H109" i="20" s="1"/>
  <c r="B110" i="20"/>
  <c r="D110" i="20"/>
  <c r="G110" i="20"/>
  <c r="A111" i="20"/>
  <c r="C110" i="20" l="1"/>
  <c r="E110" i="20"/>
  <c r="F110" i="20" s="1"/>
  <c r="H110" i="20" s="1"/>
  <c r="B111" i="20"/>
  <c r="D111" i="20"/>
  <c r="G111" i="20"/>
  <c r="A112" i="20"/>
  <c r="C111" i="20" l="1"/>
  <c r="E111" i="20"/>
  <c r="F111" i="20" s="1"/>
  <c r="H111" i="20" s="1"/>
  <c r="B112" i="20"/>
  <c r="D112" i="20"/>
  <c r="G112" i="20"/>
  <c r="A113" i="20"/>
  <c r="C112" i="20" l="1"/>
  <c r="E112" i="20"/>
  <c r="F112" i="20" s="1"/>
  <c r="H112" i="20" s="1"/>
  <c r="B113" i="20"/>
  <c r="D113" i="20"/>
  <c r="G113" i="20"/>
  <c r="A114" i="20"/>
  <c r="C113" i="20" l="1"/>
  <c r="E113" i="20"/>
  <c r="F113" i="20" s="1"/>
  <c r="H113" i="20" s="1"/>
  <c r="B114" i="20"/>
  <c r="D114" i="20"/>
  <c r="G114" i="20"/>
  <c r="A115" i="20"/>
  <c r="C114" i="20" l="1"/>
  <c r="E114" i="20"/>
  <c r="F114" i="20" s="1"/>
  <c r="H114" i="20" s="1"/>
  <c r="B115" i="20"/>
  <c r="D115" i="20"/>
  <c r="G115" i="20"/>
  <c r="A116" i="20"/>
  <c r="C115" i="20" l="1"/>
  <c r="E115" i="20"/>
  <c r="F115" i="20" s="1"/>
  <c r="H115" i="20" s="1"/>
  <c r="B116" i="20"/>
  <c r="D116" i="20"/>
  <c r="G116" i="20"/>
  <c r="A117" i="20"/>
  <c r="C116" i="20" l="1"/>
  <c r="E116" i="20"/>
  <c r="F116" i="20" s="1"/>
  <c r="H116" i="20" s="1"/>
  <c r="B117" i="20"/>
  <c r="D117" i="20"/>
  <c r="G117" i="20"/>
  <c r="A118" i="20"/>
  <c r="C117" i="20" l="1"/>
  <c r="E117" i="20"/>
  <c r="F117" i="20" s="1"/>
  <c r="H117" i="20" s="1"/>
  <c r="B118" i="20"/>
  <c r="D118" i="20"/>
  <c r="G118" i="20"/>
  <c r="A119" i="20"/>
  <c r="C118" i="20" l="1"/>
  <c r="E118" i="20"/>
  <c r="F118" i="20" s="1"/>
  <c r="H118" i="20" s="1"/>
  <c r="B119" i="20"/>
  <c r="D119" i="20"/>
  <c r="G119" i="20"/>
  <c r="A120" i="20"/>
  <c r="C119" i="20" l="1"/>
  <c r="E119" i="20"/>
  <c r="F119" i="20" s="1"/>
  <c r="H119" i="20" s="1"/>
  <c r="B120" i="20"/>
  <c r="D120" i="20"/>
  <c r="G120" i="20"/>
  <c r="A121" i="20"/>
  <c r="C120" i="20" l="1"/>
  <c r="E120" i="20"/>
  <c r="F120" i="20" s="1"/>
  <c r="H120" i="20" s="1"/>
  <c r="B121" i="20"/>
  <c r="D121" i="20"/>
  <c r="G121" i="20"/>
  <c r="A122" i="20"/>
  <c r="C121" i="20" l="1"/>
  <c r="E121" i="20"/>
  <c r="F121" i="20" s="1"/>
  <c r="H121" i="20" s="1"/>
  <c r="B122" i="20"/>
  <c r="D122" i="20"/>
  <c r="G122" i="20"/>
  <c r="A123" i="20"/>
  <c r="C122" i="20" l="1"/>
  <c r="E122" i="20"/>
  <c r="F122" i="20" s="1"/>
  <c r="H122" i="20" s="1"/>
  <c r="B123" i="20"/>
  <c r="D123" i="20"/>
  <c r="G123" i="20"/>
  <c r="A124" i="20"/>
  <c r="C123" i="20" l="1"/>
  <c r="E123" i="20"/>
  <c r="F123" i="20" s="1"/>
  <c r="H123" i="20" s="1"/>
  <c r="B124" i="20"/>
  <c r="D124" i="20"/>
  <c r="G124" i="20"/>
  <c r="A125" i="20"/>
  <c r="C124" i="20" l="1"/>
  <c r="E124" i="20"/>
  <c r="F124" i="20" s="1"/>
  <c r="H124" i="20" s="1"/>
  <c r="B125" i="20"/>
  <c r="D125" i="20"/>
  <c r="G125" i="20"/>
  <c r="A126" i="20"/>
  <c r="C125" i="20" l="1"/>
  <c r="E125" i="20"/>
  <c r="F125" i="20" s="1"/>
  <c r="H125" i="20" s="1"/>
  <c r="B126" i="20"/>
  <c r="D126" i="20"/>
  <c r="G126" i="20"/>
  <c r="A127" i="20"/>
  <c r="C126" i="20" l="1"/>
  <c r="E126" i="20"/>
  <c r="F126" i="20" s="1"/>
  <c r="H126" i="20" s="1"/>
  <c r="B127" i="20"/>
  <c r="D127" i="20"/>
  <c r="G127" i="20"/>
  <c r="A128" i="20"/>
  <c r="C127" i="20" l="1"/>
  <c r="E127" i="20"/>
  <c r="F127" i="20" s="1"/>
  <c r="H127" i="20" s="1"/>
  <c r="B128" i="20"/>
  <c r="D128" i="20"/>
  <c r="G128" i="20"/>
  <c r="A129" i="20"/>
  <c r="C128" i="20" l="1"/>
  <c r="E128" i="20"/>
  <c r="F128" i="20" s="1"/>
  <c r="H128" i="20" s="1"/>
  <c r="B129" i="20"/>
  <c r="D129" i="20"/>
  <c r="G129" i="20"/>
  <c r="A130" i="20"/>
  <c r="C129" i="20" l="1"/>
  <c r="E129" i="20"/>
  <c r="F129" i="20" s="1"/>
  <c r="H129" i="20" s="1"/>
  <c r="B130" i="20"/>
  <c r="D130" i="20"/>
  <c r="G130" i="20"/>
  <c r="A131" i="20"/>
  <c r="C130" i="20" l="1"/>
  <c r="E130" i="20"/>
  <c r="F130" i="20" s="1"/>
  <c r="H130" i="20" s="1"/>
  <c r="B131" i="20"/>
  <c r="D131" i="20"/>
  <c r="G131" i="20"/>
  <c r="A132" i="20"/>
  <c r="C131" i="20" l="1"/>
  <c r="E131" i="20"/>
  <c r="F131" i="20" s="1"/>
  <c r="H131" i="20" s="1"/>
  <c r="B132" i="20"/>
  <c r="D132" i="20"/>
  <c r="G132" i="20"/>
  <c r="A133" i="20"/>
  <c r="C132" i="20" l="1"/>
  <c r="E132" i="20"/>
  <c r="F132" i="20" s="1"/>
  <c r="H132" i="20" s="1"/>
  <c r="B133" i="20"/>
  <c r="D133" i="20"/>
  <c r="G133" i="20"/>
  <c r="A134" i="20"/>
  <c r="C133" i="20" l="1"/>
  <c r="E133" i="20"/>
  <c r="F133" i="20" s="1"/>
  <c r="H133" i="20" s="1"/>
  <c r="B134" i="20"/>
  <c r="D134" i="20"/>
  <c r="G134" i="20"/>
  <c r="A135" i="20"/>
  <c r="C134" i="20" l="1"/>
  <c r="E134" i="20"/>
  <c r="F134" i="20" s="1"/>
  <c r="H134" i="20" s="1"/>
  <c r="B135" i="20"/>
  <c r="D135" i="20"/>
  <c r="G135" i="20"/>
  <c r="A136" i="20"/>
  <c r="C135" i="20" l="1"/>
  <c r="E135" i="20"/>
  <c r="F135" i="20" s="1"/>
  <c r="H135" i="20" s="1"/>
  <c r="B136" i="20"/>
  <c r="D136" i="20"/>
  <c r="G136" i="20"/>
  <c r="A137" i="20"/>
  <c r="C136" i="20" l="1"/>
  <c r="E136" i="20"/>
  <c r="F136" i="20" s="1"/>
  <c r="H136" i="20" s="1"/>
  <c r="B137" i="20"/>
  <c r="D137" i="20"/>
  <c r="G137" i="20"/>
  <c r="A138" i="20"/>
  <c r="C137" i="20" l="1"/>
  <c r="E137" i="20"/>
  <c r="F137" i="20" s="1"/>
  <c r="H137" i="20" s="1"/>
  <c r="B138" i="20"/>
  <c r="D138" i="20"/>
  <c r="G138" i="20"/>
  <c r="A139" i="20"/>
  <c r="C138" i="20" l="1"/>
  <c r="E138" i="20"/>
  <c r="F138" i="20" s="1"/>
  <c r="H138" i="20" s="1"/>
  <c r="G139" i="20"/>
  <c r="B139" i="20"/>
  <c r="A140" i="20"/>
  <c r="D139" i="20"/>
  <c r="E139" i="20" l="1"/>
  <c r="F139" i="20" s="1"/>
  <c r="H139" i="20" s="1"/>
  <c r="C139" i="20"/>
  <c r="G140" i="20"/>
  <c r="B140" i="20"/>
  <c r="D140" i="20"/>
  <c r="A141" i="20"/>
  <c r="C140" i="20" l="1"/>
  <c r="E140" i="20"/>
  <c r="F140" i="20" s="1"/>
  <c r="H140" i="20" s="1"/>
  <c r="D141" i="20"/>
  <c r="A142" i="20"/>
  <c r="B141" i="20"/>
  <c r="G141" i="20"/>
  <c r="D142" i="20" l="1"/>
  <c r="B142" i="20"/>
  <c r="A143" i="20"/>
  <c r="G142" i="20"/>
  <c r="E141" i="20"/>
  <c r="F141" i="20" s="1"/>
  <c r="H141" i="20" s="1"/>
  <c r="C141" i="20"/>
  <c r="E142" i="20" l="1"/>
  <c r="F142" i="20" s="1"/>
  <c r="H142" i="20" s="1"/>
  <c r="C142" i="20"/>
  <c r="G143" i="20"/>
  <c r="A144" i="20"/>
  <c r="B143" i="20"/>
  <c r="D143" i="20"/>
  <c r="B144" i="20" l="1"/>
  <c r="A145" i="20"/>
  <c r="D144" i="20"/>
  <c r="G144" i="20"/>
  <c r="C143" i="20"/>
  <c r="E143" i="20"/>
  <c r="F143" i="20" s="1"/>
  <c r="H143" i="20" s="1"/>
  <c r="C144" i="20" l="1"/>
  <c r="E144" i="20"/>
  <c r="F144" i="20" s="1"/>
  <c r="H144" i="20" s="1"/>
  <c r="D145" i="20"/>
  <c r="B145" i="20"/>
  <c r="A146" i="20"/>
  <c r="G145" i="20"/>
  <c r="E145" i="20" l="1"/>
  <c r="F145" i="20" s="1"/>
  <c r="H145" i="20" s="1"/>
  <c r="C145" i="20"/>
  <c r="D146" i="20"/>
  <c r="G146" i="20"/>
  <c r="B146" i="20"/>
  <c r="A147" i="20"/>
  <c r="E146" i="20" l="1"/>
  <c r="F146" i="20" s="1"/>
  <c r="H146" i="20" s="1"/>
  <c r="C146" i="20"/>
  <c r="D147" i="20"/>
  <c r="B147" i="20"/>
  <c r="A148" i="20"/>
  <c r="G147" i="20"/>
  <c r="E147" i="20" l="1"/>
  <c r="F147" i="20" s="1"/>
  <c r="H147" i="20" s="1"/>
  <c r="C147" i="20"/>
  <c r="D148" i="20"/>
  <c r="G148" i="20"/>
  <c r="A149" i="20"/>
  <c r="B148" i="20"/>
  <c r="B149" i="20" l="1"/>
  <c r="G149" i="20"/>
  <c r="A150" i="20"/>
  <c r="D149" i="20"/>
  <c r="E148" i="20"/>
  <c r="F148" i="20" s="1"/>
  <c r="H148" i="20" s="1"/>
  <c r="C148" i="20"/>
  <c r="C149" i="20" l="1"/>
  <c r="E149" i="20"/>
  <c r="F149" i="20" s="1"/>
  <c r="H149" i="20" s="1"/>
  <c r="D150" i="20"/>
  <c r="A151" i="20"/>
  <c r="B150" i="20"/>
  <c r="G150" i="20"/>
  <c r="D151" i="20" l="1"/>
  <c r="A152" i="20"/>
  <c r="B151" i="20"/>
  <c r="G151" i="20"/>
  <c r="E150" i="20"/>
  <c r="F150" i="20" s="1"/>
  <c r="H150" i="20" s="1"/>
  <c r="C150" i="20"/>
  <c r="D152" i="20" l="1"/>
  <c r="G152" i="20"/>
  <c r="B152" i="20"/>
  <c r="A153" i="20"/>
  <c r="E151" i="20"/>
  <c r="F151" i="20" s="1"/>
  <c r="H151" i="20" s="1"/>
  <c r="C151" i="20"/>
  <c r="C152" i="20" l="1"/>
  <c r="E152" i="20"/>
  <c r="F152" i="20" s="1"/>
  <c r="H152" i="20" s="1"/>
  <c r="A154" i="20"/>
  <c r="B153" i="20"/>
  <c r="D153" i="20"/>
  <c r="G153" i="20"/>
  <c r="A155" i="20" l="1"/>
  <c r="G154" i="20"/>
  <c r="B154" i="20"/>
  <c r="D154" i="20"/>
  <c r="C153" i="20"/>
  <c r="E153" i="20"/>
  <c r="F153" i="20" s="1"/>
  <c r="H153" i="20" s="1"/>
  <c r="D155" i="20" l="1"/>
  <c r="A156" i="20"/>
  <c r="B155" i="20"/>
  <c r="G155" i="20"/>
  <c r="E154" i="20"/>
  <c r="F154" i="20" s="1"/>
  <c r="H154" i="20" s="1"/>
  <c r="C154" i="20"/>
  <c r="D156" i="20" l="1"/>
  <c r="G156" i="20"/>
  <c r="A157" i="20"/>
  <c r="B156" i="20"/>
  <c r="C155" i="20"/>
  <c r="E155" i="20"/>
  <c r="F155" i="20" s="1"/>
  <c r="H155" i="20" s="1"/>
  <c r="D157" i="20" l="1"/>
  <c r="B157" i="20"/>
  <c r="A158" i="20"/>
  <c r="G157" i="20"/>
  <c r="E156" i="20"/>
  <c r="F156" i="20" s="1"/>
  <c r="H156" i="20" s="1"/>
  <c r="C156" i="20"/>
  <c r="E157" i="20" l="1"/>
  <c r="F157" i="20" s="1"/>
  <c r="H157" i="20" s="1"/>
  <c r="C157" i="20"/>
  <c r="B158" i="20"/>
  <c r="D158" i="20"/>
  <c r="G158" i="20"/>
  <c r="A159" i="20"/>
  <c r="E158" i="20" l="1"/>
  <c r="F158" i="20" s="1"/>
  <c r="H158" i="20" s="1"/>
  <c r="C158" i="20"/>
  <c r="G159" i="20"/>
  <c r="B159" i="20"/>
  <c r="A160" i="20"/>
  <c r="D159" i="20"/>
  <c r="E159" i="20" l="1"/>
  <c r="F159" i="20" s="1"/>
  <c r="H159" i="20" s="1"/>
  <c r="C159" i="20"/>
  <c r="G160" i="20"/>
  <c r="B160" i="20"/>
  <c r="D160" i="20"/>
  <c r="A161" i="20"/>
  <c r="C160" i="20" l="1"/>
  <c r="E160" i="20"/>
  <c r="F160" i="20" s="1"/>
  <c r="H160" i="20" s="1"/>
  <c r="D161" i="20"/>
  <c r="A162" i="20"/>
  <c r="B161" i="20"/>
  <c r="G161" i="20"/>
  <c r="A163" i="20" l="1"/>
  <c r="G162" i="20"/>
  <c r="B162" i="20"/>
  <c r="D162" i="20"/>
  <c r="E161" i="20"/>
  <c r="F161" i="20" s="1"/>
  <c r="H161" i="20" s="1"/>
  <c r="C161" i="20"/>
  <c r="G163" i="20" l="1"/>
  <c r="D163" i="20"/>
  <c r="A164" i="20"/>
  <c r="B163" i="20"/>
  <c r="C162" i="20"/>
  <c r="E162" i="20"/>
  <c r="F162" i="20" s="1"/>
  <c r="H162" i="20" s="1"/>
  <c r="A165" i="20" l="1"/>
  <c r="B164" i="20"/>
  <c r="D164" i="20"/>
  <c r="G164" i="20"/>
  <c r="C163" i="20"/>
  <c r="E163" i="20"/>
  <c r="F163" i="20" s="1"/>
  <c r="H163" i="20" s="1"/>
  <c r="D165" i="20" l="1"/>
  <c r="B165" i="20"/>
  <c r="G165" i="20"/>
  <c r="A166" i="20"/>
  <c r="E164" i="20"/>
  <c r="F164" i="20" s="1"/>
  <c r="H164" i="20" s="1"/>
  <c r="C164" i="20"/>
  <c r="E165" i="20" l="1"/>
  <c r="F165" i="20" s="1"/>
  <c r="H165" i="20" s="1"/>
  <c r="C165" i="20"/>
  <c r="B166" i="20"/>
  <c r="D166" i="20"/>
  <c r="G166" i="20"/>
  <c r="A167" i="20"/>
  <c r="C166" i="20" l="1"/>
  <c r="E166" i="20"/>
  <c r="F166" i="20" s="1"/>
  <c r="H166" i="20" s="1"/>
  <c r="B167" i="20"/>
  <c r="D167" i="20"/>
  <c r="G167" i="20"/>
  <c r="A168" i="20"/>
  <c r="C167" i="20" l="1"/>
  <c r="E167" i="20"/>
  <c r="F167" i="20" s="1"/>
  <c r="H167" i="20" s="1"/>
  <c r="B168" i="20"/>
  <c r="D168" i="20"/>
  <c r="G168" i="20"/>
  <c r="A169" i="20"/>
  <c r="C168" i="20" l="1"/>
  <c r="E168" i="20"/>
  <c r="F168" i="20" s="1"/>
  <c r="H168" i="20" s="1"/>
  <c r="B169" i="20"/>
  <c r="D169" i="20"/>
  <c r="G169" i="20"/>
  <c r="A170" i="20"/>
  <c r="C169" i="20" l="1"/>
  <c r="E169" i="20"/>
  <c r="F169" i="20" s="1"/>
  <c r="H169" i="20" s="1"/>
  <c r="B170" i="20"/>
  <c r="D170" i="20"/>
  <c r="G170" i="20"/>
  <c r="A171" i="20"/>
  <c r="C170" i="20" l="1"/>
  <c r="E170" i="20"/>
  <c r="F170" i="20" s="1"/>
  <c r="H170" i="20" s="1"/>
  <c r="B171" i="20"/>
  <c r="D171" i="20"/>
  <c r="G171" i="20"/>
  <c r="A172" i="20"/>
  <c r="C171" i="20" l="1"/>
  <c r="E171" i="20"/>
  <c r="F171" i="20" s="1"/>
  <c r="H171" i="20" s="1"/>
  <c r="B172" i="20"/>
  <c r="D172" i="20"/>
  <c r="A173" i="20"/>
  <c r="G172" i="20"/>
  <c r="C172" i="20" l="1"/>
  <c r="E172" i="20"/>
  <c r="F172" i="20" s="1"/>
  <c r="H172" i="20" s="1"/>
  <c r="A174" i="20"/>
  <c r="G173" i="20"/>
  <c r="B173" i="20"/>
  <c r="D173" i="20"/>
  <c r="A175" i="20" l="1"/>
  <c r="B174" i="20"/>
  <c r="G174" i="20"/>
  <c r="D174" i="20"/>
  <c r="C173" i="20"/>
  <c r="E173" i="20"/>
  <c r="F173" i="20" s="1"/>
  <c r="H173" i="20" s="1"/>
  <c r="D175" i="20" l="1"/>
  <c r="G175" i="20"/>
  <c r="A176" i="20"/>
  <c r="B175" i="20"/>
  <c r="E174" i="20"/>
  <c r="F174" i="20" s="1"/>
  <c r="H174" i="20" s="1"/>
  <c r="C174" i="20"/>
  <c r="G176" i="20" l="1"/>
  <c r="D176" i="20"/>
  <c r="A177" i="20"/>
  <c r="B176" i="20"/>
  <c r="C175" i="20"/>
  <c r="E175" i="20"/>
  <c r="F175" i="20" s="1"/>
  <c r="H175" i="20" s="1"/>
  <c r="G177" i="20" l="1"/>
  <c r="B177" i="20"/>
  <c r="A178" i="20"/>
  <c r="D177" i="20"/>
  <c r="E176" i="20"/>
  <c r="F176" i="20" s="1"/>
  <c r="H176" i="20" s="1"/>
  <c r="C176" i="20"/>
  <c r="C177" i="20" l="1"/>
  <c r="E177" i="20"/>
  <c r="F177" i="20" s="1"/>
  <c r="H177" i="20" s="1"/>
  <c r="D178" i="20"/>
  <c r="G178" i="20"/>
  <c r="B178" i="20"/>
  <c r="A179" i="20"/>
  <c r="E178" i="20" l="1"/>
  <c r="F178" i="20" s="1"/>
  <c r="H178" i="20" s="1"/>
  <c r="C178" i="20"/>
  <c r="D179" i="20"/>
  <c r="A180" i="20"/>
  <c r="B179" i="20"/>
  <c r="G179" i="20"/>
  <c r="G180" i="20" l="1"/>
  <c r="B180" i="20"/>
  <c r="D180" i="20"/>
  <c r="A181" i="20"/>
  <c r="C179" i="20"/>
  <c r="E179" i="20"/>
  <c r="F179" i="20" s="1"/>
  <c r="H179" i="20" s="1"/>
  <c r="C180" i="20" l="1"/>
  <c r="E180" i="20"/>
  <c r="F180" i="20" s="1"/>
  <c r="H180" i="20" s="1"/>
  <c r="B181" i="20"/>
  <c r="D181" i="20"/>
  <c r="A182" i="20"/>
  <c r="G181" i="20"/>
  <c r="C181" i="20" l="1"/>
  <c r="E181" i="20"/>
  <c r="F181" i="20" s="1"/>
  <c r="H181" i="20" s="1"/>
  <c r="D182" i="20"/>
  <c r="B182" i="20"/>
  <c r="G182" i="20"/>
  <c r="A183" i="20"/>
  <c r="E182" i="20" l="1"/>
  <c r="F182" i="20" s="1"/>
  <c r="H182" i="20" s="1"/>
  <c r="C182" i="20"/>
  <c r="G183" i="20"/>
  <c r="D183" i="20"/>
  <c r="B183" i="20"/>
  <c r="A184" i="20"/>
  <c r="E183" i="20" l="1"/>
  <c r="F183" i="20" s="1"/>
  <c r="H183" i="20" s="1"/>
  <c r="C183" i="20"/>
  <c r="G184" i="20"/>
  <c r="B184" i="20"/>
  <c r="D184" i="20"/>
  <c r="A185" i="20"/>
  <c r="E184" i="20" l="1"/>
  <c r="F184" i="20" s="1"/>
  <c r="H184" i="20" s="1"/>
  <c r="C184" i="20"/>
  <c r="A186" i="20"/>
  <c r="D185" i="20"/>
  <c r="G185" i="20"/>
  <c r="B185" i="20"/>
  <c r="G186" i="20" l="1"/>
  <c r="D186" i="20"/>
  <c r="B186" i="20"/>
  <c r="A187" i="20"/>
  <c r="E185" i="20"/>
  <c r="F185" i="20" s="1"/>
  <c r="H185" i="20" s="1"/>
  <c r="C185" i="20"/>
  <c r="E186" i="20" l="1"/>
  <c r="F186" i="20" s="1"/>
  <c r="H186" i="20" s="1"/>
  <c r="C186" i="20"/>
  <c r="B187" i="20"/>
  <c r="D187" i="20"/>
  <c r="G187" i="20"/>
  <c r="A188" i="20"/>
  <c r="C187" i="20" l="1"/>
  <c r="E187" i="20"/>
  <c r="F187" i="20" s="1"/>
  <c r="H187" i="20" s="1"/>
  <c r="D188" i="20"/>
  <c r="A189" i="20"/>
  <c r="B188" i="20"/>
  <c r="G188" i="20"/>
  <c r="G189" i="20" l="1"/>
  <c r="B189" i="20"/>
  <c r="A190" i="20"/>
  <c r="D189" i="20"/>
  <c r="C188" i="20"/>
  <c r="E188" i="20"/>
  <c r="F188" i="20" s="1"/>
  <c r="H188" i="20" s="1"/>
  <c r="E189" i="20" l="1"/>
  <c r="F189" i="20" s="1"/>
  <c r="H189" i="20" s="1"/>
  <c r="C189" i="20"/>
  <c r="A191" i="20"/>
  <c r="B190" i="20"/>
  <c r="D190" i="20"/>
  <c r="G190" i="20"/>
  <c r="G191" i="20" l="1"/>
  <c r="A192" i="20"/>
  <c r="B191" i="20"/>
  <c r="D191" i="20"/>
  <c r="E190" i="20"/>
  <c r="F190" i="20" s="1"/>
  <c r="H190" i="20" s="1"/>
  <c r="C190" i="20"/>
  <c r="D192" i="20" l="1"/>
  <c r="B192" i="20"/>
  <c r="A193" i="20"/>
  <c r="G192" i="20"/>
  <c r="E191" i="20"/>
  <c r="F191" i="20" s="1"/>
  <c r="H191" i="20" s="1"/>
  <c r="C191" i="20"/>
  <c r="E192" i="20" l="1"/>
  <c r="F192" i="20" s="1"/>
  <c r="H192" i="20" s="1"/>
  <c r="C192" i="20"/>
  <c r="D193" i="20"/>
  <c r="A194" i="20"/>
  <c r="B193" i="20"/>
  <c r="G193" i="20"/>
  <c r="D194" i="20" l="1"/>
  <c r="B194" i="20"/>
  <c r="G194" i="20"/>
  <c r="A195" i="20"/>
  <c r="E193" i="20"/>
  <c r="F193" i="20" s="1"/>
  <c r="H193" i="20" s="1"/>
  <c r="C193" i="20"/>
  <c r="C194" i="20" l="1"/>
  <c r="E194" i="20"/>
  <c r="F194" i="20" s="1"/>
  <c r="H194" i="20" s="1"/>
  <c r="D195" i="20"/>
  <c r="B195" i="20"/>
  <c r="G195" i="20"/>
  <c r="A196" i="20"/>
  <c r="C195" i="20" l="1"/>
  <c r="E195" i="20"/>
  <c r="F195" i="20" s="1"/>
  <c r="H195" i="20" s="1"/>
  <c r="D196" i="20"/>
  <c r="B196" i="20"/>
  <c r="G196" i="20"/>
  <c r="A197" i="20"/>
  <c r="C196" i="20" l="1"/>
  <c r="E196" i="20"/>
  <c r="F196" i="20" s="1"/>
  <c r="H196" i="20" s="1"/>
  <c r="D197" i="20"/>
  <c r="A198" i="20"/>
  <c r="B197" i="20"/>
  <c r="G197" i="20"/>
  <c r="A199" i="20" l="1"/>
  <c r="G198" i="20"/>
  <c r="B198" i="20"/>
  <c r="D198" i="20"/>
  <c r="C197" i="20"/>
  <c r="E197" i="20"/>
  <c r="F197" i="20" s="1"/>
  <c r="H197" i="20" s="1"/>
  <c r="G199" i="20" l="1"/>
  <c r="B199" i="20"/>
  <c r="D199" i="20"/>
  <c r="A200" i="20"/>
  <c r="E198" i="20"/>
  <c r="F198" i="20" s="1"/>
  <c r="H198" i="20" s="1"/>
  <c r="C198" i="20"/>
  <c r="E199" i="20" l="1"/>
  <c r="F199" i="20" s="1"/>
  <c r="H199" i="20" s="1"/>
  <c r="C199" i="20"/>
  <c r="A201" i="20"/>
  <c r="G200" i="20"/>
  <c r="B200" i="20"/>
  <c r="D200" i="20"/>
  <c r="D201" i="20" l="1"/>
  <c r="G201" i="20"/>
  <c r="B201" i="20"/>
  <c r="A202" i="20"/>
  <c r="C200" i="20"/>
  <c r="E200" i="20"/>
  <c r="F200" i="20" s="1"/>
  <c r="H200" i="20" s="1"/>
  <c r="E201" i="20" l="1"/>
  <c r="F201" i="20" s="1"/>
  <c r="H201" i="20" s="1"/>
  <c r="C201" i="20"/>
  <c r="D202" i="20"/>
  <c r="A203" i="20"/>
  <c r="B202" i="20"/>
  <c r="G202" i="20"/>
  <c r="G203" i="20" l="1"/>
  <c r="D203" i="20"/>
  <c r="A204" i="20"/>
  <c r="B203" i="20"/>
  <c r="E202" i="20"/>
  <c r="F202" i="20" s="1"/>
  <c r="H202" i="20" s="1"/>
  <c r="C202" i="20"/>
  <c r="A205" i="20" l="1"/>
  <c r="D204" i="20"/>
  <c r="B204" i="20"/>
  <c r="G204" i="20"/>
  <c r="E203" i="20"/>
  <c r="F203" i="20" s="1"/>
  <c r="H203" i="20" s="1"/>
  <c r="C203" i="20"/>
  <c r="B205" i="20" l="1"/>
  <c r="D205" i="20"/>
  <c r="A206" i="20"/>
  <c r="G205" i="20"/>
  <c r="C204" i="20"/>
  <c r="E204" i="20"/>
  <c r="F204" i="20" s="1"/>
  <c r="H204" i="20" s="1"/>
  <c r="E205" i="20" l="1"/>
  <c r="F205" i="20" s="1"/>
  <c r="H205" i="20" s="1"/>
  <c r="C205" i="20"/>
  <c r="G206" i="20"/>
  <c r="B206" i="20"/>
  <c r="A207" i="20"/>
  <c r="D206" i="20"/>
  <c r="C206" i="20" l="1"/>
  <c r="E206" i="20"/>
  <c r="F206" i="20" s="1"/>
  <c r="H206" i="20" s="1"/>
  <c r="B207" i="20"/>
  <c r="D207" i="20"/>
  <c r="A208" i="20"/>
  <c r="G207" i="20"/>
  <c r="E207" i="20" l="1"/>
  <c r="F207" i="20" s="1"/>
  <c r="H207" i="20" s="1"/>
  <c r="C207" i="20"/>
  <c r="B208" i="20"/>
  <c r="D208" i="20"/>
  <c r="A209" i="20"/>
  <c r="G208" i="20"/>
  <c r="E208" i="20" l="1"/>
  <c r="F208" i="20" s="1"/>
  <c r="H208" i="20" s="1"/>
  <c r="C208" i="20"/>
  <c r="G209" i="20"/>
  <c r="A210" i="20"/>
  <c r="B209" i="20"/>
  <c r="D209" i="20"/>
  <c r="A211" i="20" l="1"/>
  <c r="B210" i="20"/>
  <c r="D210" i="20"/>
  <c r="G210" i="20"/>
  <c r="E209" i="20"/>
  <c r="F209" i="20" s="1"/>
  <c r="H209" i="20" s="1"/>
  <c r="C209" i="20"/>
  <c r="G211" i="20" l="1"/>
  <c r="A212" i="20"/>
  <c r="B211" i="20"/>
  <c r="D211" i="20"/>
  <c r="E210" i="20"/>
  <c r="F210" i="20" s="1"/>
  <c r="H210" i="20" s="1"/>
  <c r="C210" i="20"/>
  <c r="D212" i="20" l="1"/>
  <c r="A213" i="20"/>
  <c r="B212" i="20"/>
  <c r="G212" i="20"/>
  <c r="E211" i="20"/>
  <c r="F211" i="20" s="1"/>
  <c r="H211" i="20" s="1"/>
  <c r="C211" i="20"/>
  <c r="D213" i="20" l="1"/>
  <c r="G213" i="20"/>
  <c r="A214" i="20"/>
  <c r="B213" i="20"/>
  <c r="C212" i="20"/>
  <c r="E212" i="20"/>
  <c r="F212" i="20" s="1"/>
  <c r="H212" i="20" s="1"/>
  <c r="G214" i="20" l="1"/>
  <c r="B214" i="20"/>
  <c r="D214" i="20"/>
  <c r="A215" i="20"/>
  <c r="C213" i="20"/>
  <c r="E213" i="20"/>
  <c r="F213" i="20" s="1"/>
  <c r="H213" i="20" s="1"/>
  <c r="E214" i="20" l="1"/>
  <c r="F214" i="20" s="1"/>
  <c r="H214" i="20" s="1"/>
  <c r="C214" i="20"/>
  <c r="G215" i="20"/>
  <c r="A216" i="20"/>
  <c r="B215" i="20"/>
  <c r="D215" i="20"/>
  <c r="G216" i="20" l="1"/>
  <c r="A217" i="20"/>
  <c r="B216" i="20"/>
  <c r="D216" i="20"/>
  <c r="E215" i="20"/>
  <c r="F215" i="20" s="1"/>
  <c r="H215" i="20" s="1"/>
  <c r="C215" i="20"/>
  <c r="D217" i="20" l="1"/>
  <c r="B217" i="20"/>
  <c r="G217" i="20"/>
  <c r="A218" i="20"/>
  <c r="E216" i="20"/>
  <c r="F216" i="20" s="1"/>
  <c r="H216" i="20" s="1"/>
  <c r="C216" i="20"/>
  <c r="C217" i="20" l="1"/>
  <c r="E217" i="20"/>
  <c r="F217" i="20" s="1"/>
  <c r="H217" i="20" s="1"/>
  <c r="G218" i="20"/>
  <c r="B218" i="20"/>
  <c r="D218" i="20"/>
  <c r="A219" i="20"/>
  <c r="C218" i="20" l="1"/>
  <c r="E218" i="20"/>
  <c r="F218" i="20" s="1"/>
  <c r="H218" i="20" s="1"/>
  <c r="D219" i="20"/>
  <c r="A220" i="20"/>
  <c r="B219" i="20"/>
  <c r="G219" i="20"/>
  <c r="D220" i="20" l="1"/>
  <c r="B220" i="20"/>
  <c r="A221" i="20"/>
  <c r="G220" i="20"/>
  <c r="C219" i="20"/>
  <c r="E219" i="20"/>
  <c r="F219" i="20" s="1"/>
  <c r="H219" i="20" s="1"/>
  <c r="C220" i="20" l="1"/>
  <c r="E220" i="20"/>
  <c r="F220" i="20" s="1"/>
  <c r="H220" i="20" s="1"/>
  <c r="D221" i="20"/>
  <c r="A222" i="20"/>
  <c r="G221" i="20"/>
  <c r="B221" i="20"/>
  <c r="G222" i="20" l="1"/>
  <c r="A223" i="20"/>
  <c r="B222" i="20"/>
  <c r="D222" i="20"/>
  <c r="E221" i="20"/>
  <c r="F221" i="20" s="1"/>
  <c r="H221" i="20" s="1"/>
  <c r="C221" i="20"/>
  <c r="D223" i="20" l="1"/>
  <c r="A224" i="20"/>
  <c r="B223" i="20"/>
  <c r="G223" i="20"/>
  <c r="E222" i="20"/>
  <c r="F222" i="20" s="1"/>
  <c r="H222" i="20" s="1"/>
  <c r="C222" i="20"/>
  <c r="D224" i="20" l="1"/>
  <c r="G224" i="20"/>
  <c r="B224" i="20"/>
  <c r="A225" i="20"/>
  <c r="C223" i="20"/>
  <c r="E223" i="20"/>
  <c r="F223" i="20" s="1"/>
  <c r="H223" i="20" s="1"/>
  <c r="E224" i="20" l="1"/>
  <c r="F224" i="20" s="1"/>
  <c r="H224" i="20" s="1"/>
  <c r="C224" i="20"/>
  <c r="G225" i="20"/>
  <c r="B225" i="20"/>
  <c r="D225" i="20"/>
  <c r="A226" i="20"/>
  <c r="E225" i="20" l="1"/>
  <c r="F225" i="20" s="1"/>
  <c r="H225" i="20" s="1"/>
  <c r="C225" i="20"/>
  <c r="D226" i="20"/>
  <c r="G226" i="20"/>
  <c r="A227" i="20"/>
  <c r="B226" i="20"/>
  <c r="G227" i="20" l="1"/>
  <c r="B227" i="20"/>
  <c r="D227" i="20"/>
  <c r="A228" i="20"/>
  <c r="E226" i="20"/>
  <c r="F226" i="20" s="1"/>
  <c r="H226" i="20" s="1"/>
  <c r="C226" i="20"/>
  <c r="C227" i="20" l="1"/>
  <c r="E227" i="20"/>
  <c r="F227" i="20" s="1"/>
  <c r="H227" i="20" s="1"/>
  <c r="B228" i="20"/>
  <c r="D228" i="20"/>
  <c r="G228" i="20"/>
  <c r="A229" i="20"/>
  <c r="C228" i="20" l="1"/>
  <c r="E228" i="20"/>
  <c r="F228" i="20" s="1"/>
  <c r="H228" i="20" s="1"/>
  <c r="A230" i="20"/>
  <c r="B229" i="20"/>
  <c r="D229" i="20"/>
  <c r="G229" i="20"/>
  <c r="G230" i="20" l="1"/>
  <c r="B230" i="20"/>
  <c r="D230" i="20"/>
  <c r="A231" i="20"/>
  <c r="E229" i="20"/>
  <c r="F229" i="20" s="1"/>
  <c r="H229" i="20" s="1"/>
  <c r="C229" i="20"/>
  <c r="C230" i="20" l="1"/>
  <c r="E230" i="20"/>
  <c r="F230" i="20" s="1"/>
  <c r="H230" i="20" s="1"/>
  <c r="A232" i="20"/>
  <c r="D231" i="20"/>
  <c r="B231" i="20"/>
  <c r="G231" i="20"/>
  <c r="G232" i="20" l="1"/>
  <c r="A233" i="20"/>
  <c r="D232" i="20"/>
  <c r="B232" i="20"/>
  <c r="C231" i="20"/>
  <c r="E231" i="20"/>
  <c r="F231" i="20" s="1"/>
  <c r="H231" i="20" s="1"/>
  <c r="G233" i="20" l="1"/>
  <c r="A234" i="20"/>
  <c r="B233" i="20"/>
  <c r="D233" i="20"/>
  <c r="C232" i="20"/>
  <c r="E232" i="20"/>
  <c r="F232" i="20" s="1"/>
  <c r="H232" i="20" s="1"/>
  <c r="D234" i="20" l="1"/>
  <c r="G234" i="20"/>
  <c r="B234" i="20"/>
  <c r="A235" i="20"/>
  <c r="E233" i="20"/>
  <c r="F233" i="20" s="1"/>
  <c r="H233" i="20" s="1"/>
  <c r="C233" i="20"/>
  <c r="E234" i="20" l="1"/>
  <c r="F234" i="20" s="1"/>
  <c r="H234" i="20" s="1"/>
  <c r="C234" i="20"/>
  <c r="D235" i="20"/>
  <c r="G235" i="20"/>
  <c r="B235" i="20"/>
  <c r="A236" i="20"/>
  <c r="C235" i="20" l="1"/>
  <c r="E235" i="20"/>
  <c r="F235" i="20" s="1"/>
  <c r="H235" i="20" s="1"/>
  <c r="D236" i="20"/>
  <c r="B236" i="20"/>
  <c r="G236" i="20"/>
  <c r="A237" i="20"/>
  <c r="C236" i="20" l="1"/>
  <c r="E236" i="20"/>
  <c r="F236" i="20" s="1"/>
  <c r="H236" i="20" s="1"/>
  <c r="A238" i="20"/>
  <c r="G237" i="20"/>
  <c r="B237" i="20"/>
  <c r="D237" i="20"/>
  <c r="A239" i="20" l="1"/>
  <c r="B238" i="20"/>
  <c r="D238" i="20"/>
  <c r="G238" i="20"/>
  <c r="E237" i="20"/>
  <c r="F237" i="20" s="1"/>
  <c r="H237" i="20" s="1"/>
  <c r="C237" i="20"/>
  <c r="D239" i="20" l="1"/>
  <c r="G239" i="20"/>
  <c r="B239" i="20"/>
  <c r="A240" i="20"/>
  <c r="E238" i="20"/>
  <c r="F238" i="20" s="1"/>
  <c r="H238" i="20" s="1"/>
  <c r="C238" i="20"/>
  <c r="E239" i="20" l="1"/>
  <c r="F239" i="20" s="1"/>
  <c r="H239" i="20" s="1"/>
  <c r="C239" i="20"/>
  <c r="B240" i="20"/>
  <c r="D240" i="20"/>
  <c r="G240" i="20"/>
  <c r="A241" i="20"/>
  <c r="C240" i="20" l="1"/>
  <c r="E240" i="20"/>
  <c r="F240" i="20" s="1"/>
  <c r="H240" i="20" s="1"/>
  <c r="B241" i="20"/>
  <c r="D241" i="20"/>
  <c r="G241" i="20"/>
  <c r="A242" i="20"/>
  <c r="C241" i="20" l="1"/>
  <c r="E241" i="20"/>
  <c r="F241" i="20" s="1"/>
  <c r="H241" i="20" s="1"/>
  <c r="B242" i="20"/>
  <c r="D242" i="20"/>
  <c r="G242" i="20"/>
  <c r="A243" i="20"/>
  <c r="C242" i="20" l="1"/>
  <c r="E242" i="20"/>
  <c r="F242" i="20" s="1"/>
  <c r="H242" i="20" s="1"/>
  <c r="B243" i="20"/>
  <c r="D243" i="20"/>
  <c r="G243" i="20"/>
  <c r="A244" i="20"/>
  <c r="C243" i="20" l="1"/>
  <c r="E243" i="20"/>
  <c r="F243" i="20" s="1"/>
  <c r="H243" i="20" s="1"/>
  <c r="B244" i="20"/>
  <c r="D244" i="20"/>
  <c r="G244" i="20"/>
  <c r="A245" i="20"/>
  <c r="C244" i="20" l="1"/>
  <c r="E244" i="20"/>
  <c r="F244" i="20" s="1"/>
  <c r="H244" i="20" s="1"/>
  <c r="B245" i="20"/>
  <c r="D245" i="20"/>
  <c r="G245" i="20"/>
  <c r="A246" i="20"/>
  <c r="C245" i="20" l="1"/>
  <c r="E245" i="20"/>
  <c r="F245" i="20" s="1"/>
  <c r="H245" i="20" s="1"/>
  <c r="B246" i="20"/>
  <c r="D246" i="20"/>
  <c r="G246" i="20"/>
  <c r="A247" i="20"/>
  <c r="C246" i="20" l="1"/>
  <c r="E246" i="20"/>
  <c r="F246" i="20" s="1"/>
  <c r="H246" i="20" s="1"/>
  <c r="B247" i="20"/>
  <c r="D247" i="20"/>
  <c r="G247" i="20"/>
  <c r="A248" i="20"/>
  <c r="C247" i="20" l="1"/>
  <c r="E247" i="20"/>
  <c r="F247" i="20" s="1"/>
  <c r="H247" i="20" s="1"/>
  <c r="B248" i="20"/>
  <c r="D248" i="20"/>
  <c r="G248" i="20"/>
  <c r="A249" i="20"/>
  <c r="C248" i="20" l="1"/>
  <c r="E248" i="20"/>
  <c r="F248" i="20" s="1"/>
  <c r="H248" i="20" s="1"/>
  <c r="B249" i="20"/>
  <c r="D249" i="20"/>
  <c r="G249" i="20"/>
  <c r="A250" i="20"/>
  <c r="C249" i="20" l="1"/>
  <c r="E249" i="20"/>
  <c r="F249" i="20" s="1"/>
  <c r="H249" i="20" s="1"/>
  <c r="B250" i="20"/>
  <c r="D250" i="20"/>
  <c r="G250" i="20"/>
  <c r="A251" i="20"/>
  <c r="C250" i="20" l="1"/>
  <c r="E250" i="20"/>
  <c r="F250" i="20" s="1"/>
  <c r="H250" i="20" s="1"/>
  <c r="B251" i="20"/>
  <c r="D251" i="20"/>
  <c r="G251" i="20"/>
  <c r="A252" i="20"/>
  <c r="C251" i="20" l="1"/>
  <c r="E251" i="20"/>
  <c r="F251" i="20" s="1"/>
  <c r="H251" i="20" s="1"/>
  <c r="B252" i="20"/>
  <c r="D252" i="20"/>
  <c r="G252" i="20"/>
  <c r="A253" i="20"/>
  <c r="C252" i="20" l="1"/>
  <c r="E252" i="20"/>
  <c r="F252" i="20" s="1"/>
  <c r="H252" i="20" s="1"/>
  <c r="B253" i="20"/>
  <c r="D253" i="20"/>
  <c r="G253" i="20"/>
  <c r="A254" i="20"/>
  <c r="C253" i="20" l="1"/>
  <c r="E253" i="20"/>
  <c r="F253" i="20" s="1"/>
  <c r="H253" i="20" s="1"/>
  <c r="B254" i="20"/>
  <c r="D254" i="20"/>
  <c r="G254" i="20"/>
  <c r="A255" i="20"/>
  <c r="C254" i="20" l="1"/>
  <c r="E254" i="20"/>
  <c r="F254" i="20" s="1"/>
  <c r="H254" i="20" s="1"/>
  <c r="B255" i="20"/>
  <c r="D255" i="20"/>
  <c r="G255" i="20"/>
  <c r="A256" i="20"/>
  <c r="C255" i="20" l="1"/>
  <c r="E255" i="20"/>
  <c r="F255" i="20" s="1"/>
  <c r="H255" i="20" s="1"/>
  <c r="B256" i="20"/>
  <c r="D256" i="20"/>
  <c r="G256" i="20"/>
  <c r="A257" i="20"/>
  <c r="C256" i="20" l="1"/>
  <c r="E256" i="20"/>
  <c r="F256" i="20" s="1"/>
  <c r="H256" i="20" s="1"/>
  <c r="B257" i="20"/>
  <c r="D257" i="20"/>
  <c r="G257" i="20"/>
  <c r="A258" i="20"/>
  <c r="C257" i="20" l="1"/>
  <c r="E257" i="20"/>
  <c r="F257" i="20" s="1"/>
  <c r="H257" i="20" s="1"/>
  <c r="B258" i="20"/>
  <c r="D258" i="20"/>
  <c r="G258" i="20"/>
  <c r="A259" i="20"/>
  <c r="C258" i="20" l="1"/>
  <c r="E258" i="20"/>
  <c r="F258" i="20" s="1"/>
  <c r="H258" i="20" s="1"/>
  <c r="B259" i="20"/>
  <c r="D259" i="20"/>
  <c r="G259" i="20"/>
  <c r="A260" i="20"/>
  <c r="C259" i="20" l="1"/>
  <c r="E259" i="20"/>
  <c r="F259" i="20" s="1"/>
  <c r="H259" i="20" s="1"/>
  <c r="B260" i="20"/>
  <c r="D260" i="20"/>
  <c r="G260" i="20"/>
  <c r="A261" i="20"/>
  <c r="C260" i="20" l="1"/>
  <c r="E260" i="20"/>
  <c r="F260" i="20" s="1"/>
  <c r="H260" i="20" s="1"/>
  <c r="B261" i="20"/>
  <c r="D261" i="20"/>
  <c r="G261" i="20"/>
  <c r="A262" i="20"/>
  <c r="C261" i="20" l="1"/>
  <c r="E261" i="20"/>
  <c r="F261" i="20" s="1"/>
  <c r="H261" i="20" s="1"/>
  <c r="B262" i="20"/>
  <c r="D262" i="20"/>
  <c r="G262" i="20"/>
  <c r="A263" i="20"/>
  <c r="C262" i="20" l="1"/>
  <c r="E262" i="20"/>
  <c r="F262" i="20" s="1"/>
  <c r="H262" i="20" s="1"/>
  <c r="B263" i="20"/>
  <c r="D263" i="20"/>
  <c r="G263" i="20"/>
  <c r="A264" i="20"/>
  <c r="C263" i="20" l="1"/>
  <c r="E263" i="20"/>
  <c r="F263" i="20" s="1"/>
  <c r="H263" i="20" s="1"/>
  <c r="B264" i="20"/>
  <c r="D264" i="20"/>
  <c r="G264" i="20"/>
  <c r="A265" i="20"/>
  <c r="C264" i="20" l="1"/>
  <c r="E264" i="20"/>
  <c r="F264" i="20" s="1"/>
  <c r="H264" i="20" s="1"/>
  <c r="B265" i="20"/>
  <c r="D265" i="20"/>
  <c r="G265" i="20"/>
  <c r="A266" i="20"/>
  <c r="C265" i="20" l="1"/>
  <c r="E265" i="20"/>
  <c r="F265" i="20" s="1"/>
  <c r="H265" i="20" s="1"/>
  <c r="B266" i="20"/>
  <c r="D266" i="20"/>
  <c r="G266" i="20"/>
  <c r="A267" i="20"/>
  <c r="C266" i="20" l="1"/>
  <c r="E266" i="20"/>
  <c r="F266" i="20" s="1"/>
  <c r="H266" i="20" s="1"/>
  <c r="B267" i="20"/>
  <c r="D267" i="20"/>
  <c r="G267" i="20"/>
  <c r="A268" i="20"/>
  <c r="C267" i="20" l="1"/>
  <c r="E267" i="20"/>
  <c r="F267" i="20" s="1"/>
  <c r="H267" i="20" s="1"/>
  <c r="B268" i="20"/>
  <c r="D268" i="20"/>
  <c r="G268" i="20"/>
  <c r="A269" i="20"/>
  <c r="C268" i="20" l="1"/>
  <c r="E268" i="20"/>
  <c r="F268" i="20" s="1"/>
  <c r="H268" i="20" s="1"/>
  <c r="B269" i="20"/>
  <c r="D269" i="20"/>
  <c r="G269" i="20"/>
  <c r="A270" i="20"/>
  <c r="C269" i="20" l="1"/>
  <c r="E269" i="20"/>
  <c r="F269" i="20" s="1"/>
  <c r="H269" i="20" s="1"/>
  <c r="B270" i="20"/>
  <c r="D270" i="20"/>
  <c r="G270" i="20"/>
  <c r="A271" i="20"/>
  <c r="C270" i="20" l="1"/>
  <c r="E270" i="20"/>
  <c r="F270" i="20" s="1"/>
  <c r="H270" i="20" s="1"/>
  <c r="B271" i="20"/>
  <c r="D271" i="20"/>
  <c r="G271" i="20"/>
  <c r="A272" i="20"/>
  <c r="C271" i="20" l="1"/>
  <c r="E271" i="20"/>
  <c r="F271" i="20" s="1"/>
  <c r="H271" i="20" s="1"/>
  <c r="B272" i="20"/>
  <c r="D272" i="20"/>
  <c r="G272" i="20"/>
  <c r="A273" i="20"/>
  <c r="C272" i="20" l="1"/>
  <c r="E272" i="20"/>
  <c r="F272" i="20" s="1"/>
  <c r="H272" i="20" s="1"/>
  <c r="B273" i="20"/>
  <c r="D273" i="20"/>
  <c r="G273" i="20"/>
  <c r="A274" i="20"/>
  <c r="C273" i="20" l="1"/>
  <c r="E273" i="20"/>
  <c r="F273" i="20" s="1"/>
  <c r="H273" i="20" s="1"/>
  <c r="B274" i="20"/>
  <c r="D274" i="20"/>
  <c r="G274" i="20"/>
  <c r="A275" i="20"/>
  <c r="C274" i="20" l="1"/>
  <c r="E274" i="20"/>
  <c r="F274" i="20" s="1"/>
  <c r="H274" i="20" s="1"/>
  <c r="B275" i="20"/>
  <c r="D275" i="20"/>
  <c r="G275" i="20"/>
  <c r="A276" i="20"/>
  <c r="C275" i="20" l="1"/>
  <c r="E275" i="20"/>
  <c r="F275" i="20" s="1"/>
  <c r="H275" i="20" s="1"/>
  <c r="B276" i="20"/>
  <c r="D276" i="20"/>
  <c r="G276" i="20"/>
  <c r="A277" i="20"/>
  <c r="C276" i="20" l="1"/>
  <c r="E276" i="20"/>
  <c r="F276" i="20" s="1"/>
  <c r="H276" i="20" s="1"/>
  <c r="D277" i="20"/>
  <c r="G277" i="20"/>
  <c r="A278" i="20"/>
  <c r="B277" i="20"/>
  <c r="B278" i="20" l="1"/>
  <c r="D278" i="20"/>
  <c r="G278" i="20"/>
  <c r="A279" i="20"/>
  <c r="C277" i="20"/>
  <c r="E277" i="20"/>
  <c r="F277" i="20" s="1"/>
  <c r="H277" i="20" s="1"/>
  <c r="C278" i="20" l="1"/>
  <c r="E278" i="20"/>
  <c r="F278" i="20" s="1"/>
  <c r="H278" i="20" s="1"/>
  <c r="B279" i="20"/>
  <c r="D279" i="20"/>
  <c r="G279" i="20"/>
  <c r="A280" i="20"/>
  <c r="C279" i="20" l="1"/>
  <c r="E279" i="20"/>
  <c r="F279" i="20" s="1"/>
  <c r="H279" i="20" s="1"/>
  <c r="B280" i="20"/>
  <c r="D280" i="20"/>
  <c r="G280" i="20"/>
  <c r="A281" i="20"/>
  <c r="C280" i="20" l="1"/>
  <c r="E280" i="20"/>
  <c r="F280" i="20" s="1"/>
  <c r="H280" i="20" s="1"/>
  <c r="B281" i="20"/>
  <c r="D281" i="20"/>
  <c r="G281" i="20"/>
  <c r="A282" i="20"/>
  <c r="C281" i="20" l="1"/>
  <c r="E281" i="20"/>
  <c r="F281" i="20" s="1"/>
  <c r="H281" i="20" s="1"/>
  <c r="B282" i="20"/>
  <c r="D282" i="20"/>
  <c r="G282" i="20"/>
  <c r="A283" i="20"/>
  <c r="C282" i="20" l="1"/>
  <c r="E282" i="20"/>
  <c r="F282" i="20" s="1"/>
  <c r="H282" i="20" s="1"/>
  <c r="B283" i="20"/>
  <c r="D283" i="20"/>
  <c r="G283" i="20"/>
  <c r="A284" i="20"/>
  <c r="C283" i="20" l="1"/>
  <c r="E283" i="20"/>
  <c r="F283" i="20" s="1"/>
  <c r="H283" i="20" s="1"/>
  <c r="B284" i="20"/>
  <c r="D284" i="20"/>
  <c r="G284" i="20"/>
  <c r="A285" i="20"/>
  <c r="C284" i="20" l="1"/>
  <c r="E284" i="20"/>
  <c r="F284" i="20" s="1"/>
  <c r="H284" i="20" s="1"/>
  <c r="B285" i="20"/>
  <c r="D285" i="20"/>
  <c r="G285" i="20"/>
  <c r="A286" i="20"/>
  <c r="C285" i="20" l="1"/>
  <c r="E285" i="20"/>
  <c r="F285" i="20" s="1"/>
  <c r="H285" i="20" s="1"/>
  <c r="B286" i="20"/>
  <c r="D286" i="20"/>
  <c r="G286" i="20"/>
  <c r="A287" i="20"/>
  <c r="C286" i="20" l="1"/>
  <c r="E286" i="20"/>
  <c r="F286" i="20" s="1"/>
  <c r="H286" i="20" s="1"/>
  <c r="B287" i="20"/>
  <c r="D287" i="20"/>
  <c r="G287" i="20"/>
  <c r="A288" i="20"/>
  <c r="C287" i="20" l="1"/>
  <c r="E287" i="20"/>
  <c r="F287" i="20" s="1"/>
  <c r="H287" i="20" s="1"/>
  <c r="B288" i="20"/>
  <c r="D288" i="20"/>
  <c r="G288" i="20"/>
  <c r="A289" i="20"/>
  <c r="C288" i="20" l="1"/>
  <c r="E288" i="20"/>
  <c r="F288" i="20" s="1"/>
  <c r="H288" i="20" s="1"/>
  <c r="B289" i="20"/>
  <c r="D289" i="20"/>
  <c r="G289" i="20"/>
  <c r="A290" i="20"/>
  <c r="C289" i="20" l="1"/>
  <c r="E289" i="20"/>
  <c r="F289" i="20" s="1"/>
  <c r="H289" i="20" s="1"/>
  <c r="B290" i="20"/>
  <c r="D290" i="20"/>
  <c r="G290" i="20"/>
  <c r="A291" i="20"/>
  <c r="C290" i="20" l="1"/>
  <c r="E290" i="20"/>
  <c r="F290" i="20" s="1"/>
  <c r="H290" i="20" s="1"/>
  <c r="B291" i="20"/>
  <c r="D291" i="20"/>
  <c r="G291" i="20"/>
  <c r="A292" i="20"/>
  <c r="C291" i="20" l="1"/>
  <c r="E291" i="20"/>
  <c r="F291" i="20" s="1"/>
  <c r="H291" i="20" s="1"/>
  <c r="B292" i="20"/>
  <c r="D292" i="20"/>
  <c r="G292" i="20"/>
  <c r="A293" i="20"/>
  <c r="C292" i="20" l="1"/>
  <c r="E292" i="20"/>
  <c r="F292" i="20" s="1"/>
  <c r="H292" i="20" s="1"/>
  <c r="B293" i="20"/>
  <c r="D293" i="20"/>
  <c r="G293" i="20"/>
  <c r="A294" i="20"/>
  <c r="C293" i="20" l="1"/>
  <c r="E293" i="20"/>
  <c r="F293" i="20" s="1"/>
  <c r="H293" i="20" s="1"/>
  <c r="B294" i="20"/>
  <c r="D294" i="20"/>
  <c r="G294" i="20"/>
  <c r="A295" i="20"/>
  <c r="C294" i="20" l="1"/>
  <c r="E294" i="20"/>
  <c r="F294" i="20" s="1"/>
  <c r="H294" i="20" s="1"/>
  <c r="B295" i="20"/>
  <c r="D295" i="20"/>
  <c r="G295" i="20"/>
  <c r="A296" i="20"/>
  <c r="C295" i="20" l="1"/>
  <c r="E295" i="20"/>
  <c r="F295" i="20" s="1"/>
  <c r="H295" i="20" s="1"/>
  <c r="B296" i="20"/>
  <c r="D296" i="20"/>
  <c r="G296" i="20"/>
  <c r="A297" i="20"/>
  <c r="C296" i="20" l="1"/>
  <c r="E296" i="20"/>
  <c r="F296" i="20" s="1"/>
  <c r="H296" i="20" s="1"/>
  <c r="B297" i="20"/>
  <c r="D297" i="20"/>
  <c r="G297" i="20"/>
  <c r="A298" i="20"/>
  <c r="C297" i="20" l="1"/>
  <c r="E297" i="20"/>
  <c r="F297" i="20" s="1"/>
  <c r="H297" i="20" s="1"/>
  <c r="B298" i="20"/>
  <c r="D298" i="20"/>
  <c r="G298" i="20"/>
  <c r="A299" i="20"/>
  <c r="C298" i="20" l="1"/>
  <c r="E298" i="20"/>
  <c r="F298" i="20" s="1"/>
  <c r="H298" i="20" s="1"/>
  <c r="B299" i="20"/>
  <c r="D299" i="20"/>
  <c r="G299" i="20"/>
  <c r="A300" i="20"/>
  <c r="C299" i="20" l="1"/>
  <c r="E299" i="20"/>
  <c r="F299" i="20" s="1"/>
  <c r="H299" i="20" s="1"/>
  <c r="B300" i="20"/>
  <c r="D300" i="20"/>
  <c r="G300" i="20"/>
  <c r="A301" i="20"/>
  <c r="C300" i="20" l="1"/>
  <c r="E300" i="20"/>
  <c r="F300" i="20" s="1"/>
  <c r="H300" i="20" s="1"/>
  <c r="B301" i="20"/>
  <c r="D301" i="20"/>
  <c r="G301" i="20"/>
  <c r="A302" i="20"/>
  <c r="C301" i="20" l="1"/>
  <c r="E301" i="20"/>
  <c r="F301" i="20" s="1"/>
  <c r="H301" i="20" s="1"/>
  <c r="B302" i="20"/>
  <c r="D302" i="20"/>
  <c r="G302" i="20"/>
  <c r="A303" i="20"/>
  <c r="C302" i="20" l="1"/>
  <c r="E302" i="20"/>
  <c r="F302" i="20" s="1"/>
  <c r="H302" i="20" s="1"/>
  <c r="B303" i="20"/>
  <c r="D303" i="20"/>
  <c r="G303" i="20"/>
  <c r="A304" i="20"/>
  <c r="C303" i="20" l="1"/>
  <c r="E303" i="20"/>
  <c r="F303" i="20" s="1"/>
  <c r="H303" i="20" s="1"/>
  <c r="B304" i="20"/>
  <c r="D304" i="20"/>
  <c r="G304" i="20"/>
  <c r="A305" i="20"/>
  <c r="C304" i="20" l="1"/>
  <c r="E304" i="20"/>
  <c r="F304" i="20" s="1"/>
  <c r="H304" i="20" s="1"/>
  <c r="B305" i="20"/>
  <c r="D305" i="20"/>
  <c r="G305" i="20"/>
  <c r="A306" i="20"/>
  <c r="C305" i="20" l="1"/>
  <c r="E305" i="20"/>
  <c r="F305" i="20" s="1"/>
  <c r="H305" i="20" s="1"/>
  <c r="B306" i="20"/>
  <c r="D306" i="20"/>
  <c r="G306" i="20"/>
  <c r="A307" i="20"/>
  <c r="C306" i="20" l="1"/>
  <c r="E306" i="20"/>
  <c r="F306" i="20" s="1"/>
  <c r="H306" i="20" s="1"/>
  <c r="B307" i="20"/>
  <c r="D307" i="20"/>
  <c r="G307" i="20"/>
  <c r="A308" i="20"/>
  <c r="C307" i="20" l="1"/>
  <c r="E307" i="20"/>
  <c r="F307" i="20" s="1"/>
  <c r="H307" i="20" s="1"/>
  <c r="B308" i="20"/>
  <c r="D308" i="20"/>
  <c r="G308" i="20"/>
  <c r="A309" i="20"/>
  <c r="C308" i="20" l="1"/>
  <c r="E308" i="20"/>
  <c r="F308" i="20" s="1"/>
  <c r="H308" i="20" s="1"/>
  <c r="B309" i="20"/>
  <c r="D309" i="20"/>
  <c r="G309" i="20"/>
  <c r="A310" i="20"/>
  <c r="C309" i="20" l="1"/>
  <c r="E309" i="20"/>
  <c r="F309" i="20" s="1"/>
  <c r="H309" i="20" s="1"/>
  <c r="B310" i="20"/>
  <c r="D310" i="20"/>
  <c r="G310" i="20"/>
  <c r="A311" i="20"/>
  <c r="C310" i="20" l="1"/>
  <c r="E310" i="20"/>
  <c r="F310" i="20" s="1"/>
  <c r="H310" i="20" s="1"/>
  <c r="B311" i="20"/>
  <c r="D311" i="20"/>
  <c r="G311" i="20"/>
  <c r="A312" i="20"/>
  <c r="C311" i="20" l="1"/>
  <c r="E311" i="20"/>
  <c r="F311" i="20" s="1"/>
  <c r="H311" i="20" s="1"/>
  <c r="B312" i="20"/>
  <c r="D312" i="20"/>
  <c r="G312" i="20"/>
  <c r="A313" i="20"/>
  <c r="C312" i="20" l="1"/>
  <c r="E312" i="20"/>
  <c r="F312" i="20" s="1"/>
  <c r="H312" i="20" s="1"/>
  <c r="B313" i="20"/>
  <c r="D313" i="20"/>
  <c r="G313" i="20"/>
  <c r="A314" i="20"/>
  <c r="C313" i="20" l="1"/>
  <c r="E313" i="20"/>
  <c r="F313" i="20" s="1"/>
  <c r="H313" i="20" s="1"/>
  <c r="B314" i="20"/>
  <c r="D314" i="20"/>
  <c r="G314" i="20"/>
  <c r="A315" i="20"/>
  <c r="C314" i="20" l="1"/>
  <c r="E314" i="20"/>
  <c r="F314" i="20" s="1"/>
  <c r="H314" i="20" s="1"/>
  <c r="B315" i="20"/>
  <c r="D315" i="20"/>
  <c r="G315" i="20"/>
  <c r="A316" i="20"/>
  <c r="C315" i="20" l="1"/>
  <c r="E315" i="20"/>
  <c r="F315" i="20" s="1"/>
  <c r="H315" i="20" s="1"/>
  <c r="B316" i="20"/>
  <c r="D316" i="20"/>
  <c r="G316" i="20"/>
  <c r="A317" i="20"/>
  <c r="C316" i="20" l="1"/>
  <c r="E316" i="20"/>
  <c r="F316" i="20" s="1"/>
  <c r="H316" i="20" s="1"/>
  <c r="B317" i="20"/>
  <c r="D317" i="20"/>
  <c r="G317" i="20"/>
  <c r="A318" i="20"/>
  <c r="C317" i="20" l="1"/>
  <c r="E317" i="20"/>
  <c r="F317" i="20" s="1"/>
  <c r="H317" i="20" s="1"/>
  <c r="B318" i="20"/>
  <c r="D318" i="20"/>
  <c r="G318" i="20"/>
  <c r="A319" i="20"/>
  <c r="C318" i="20" l="1"/>
  <c r="E318" i="20"/>
  <c r="F318" i="20" s="1"/>
  <c r="H318" i="20" s="1"/>
  <c r="B319" i="20"/>
  <c r="D319" i="20"/>
  <c r="G319" i="20"/>
  <c r="A320" i="20"/>
  <c r="C319" i="20" l="1"/>
  <c r="E319" i="20"/>
  <c r="F319" i="20" s="1"/>
  <c r="H319" i="20" s="1"/>
  <c r="B320" i="20"/>
  <c r="D320" i="20"/>
  <c r="G320" i="20"/>
  <c r="A321" i="20"/>
  <c r="C320" i="20" l="1"/>
  <c r="E320" i="20"/>
  <c r="F320" i="20" s="1"/>
  <c r="H320" i="20" s="1"/>
  <c r="B321" i="20"/>
  <c r="D321" i="20"/>
  <c r="G321" i="20"/>
  <c r="A322" i="20"/>
  <c r="C321" i="20" l="1"/>
  <c r="E321" i="20"/>
  <c r="F321" i="20" s="1"/>
  <c r="H321" i="20" s="1"/>
  <c r="B322" i="20"/>
  <c r="D322" i="20"/>
  <c r="G322" i="20"/>
  <c r="A323" i="20"/>
  <c r="C322" i="20" l="1"/>
  <c r="E322" i="20"/>
  <c r="F322" i="20" s="1"/>
  <c r="H322" i="20" s="1"/>
  <c r="B323" i="20"/>
  <c r="D323" i="20"/>
  <c r="G323" i="20"/>
  <c r="A324" i="20"/>
  <c r="C323" i="20" l="1"/>
  <c r="E323" i="20"/>
  <c r="F323" i="20" s="1"/>
  <c r="H323" i="20" s="1"/>
  <c r="B324" i="20"/>
  <c r="D324" i="20"/>
  <c r="G324" i="20"/>
  <c r="A325" i="20"/>
  <c r="C324" i="20" l="1"/>
  <c r="E324" i="20"/>
  <c r="F324" i="20" s="1"/>
  <c r="H324" i="20" s="1"/>
  <c r="B325" i="20"/>
  <c r="D325" i="20"/>
  <c r="G325" i="20"/>
  <c r="A326" i="20"/>
  <c r="C325" i="20" l="1"/>
  <c r="E325" i="20"/>
  <c r="F325" i="20" s="1"/>
  <c r="H325" i="20" s="1"/>
  <c r="B326" i="20"/>
  <c r="D326" i="20"/>
  <c r="G326" i="20"/>
  <c r="A327" i="20"/>
  <c r="C326" i="20" l="1"/>
  <c r="E326" i="20"/>
  <c r="F326" i="20" s="1"/>
  <c r="H326" i="20" s="1"/>
  <c r="B327" i="20"/>
  <c r="D327" i="20"/>
  <c r="G327" i="20"/>
  <c r="A328" i="20"/>
  <c r="C327" i="20" l="1"/>
  <c r="E327" i="20"/>
  <c r="F327" i="20" s="1"/>
  <c r="H327" i="20" s="1"/>
  <c r="B328" i="20"/>
  <c r="D328" i="20"/>
  <c r="G328" i="20"/>
  <c r="A329" i="20"/>
  <c r="C328" i="20" l="1"/>
  <c r="E328" i="20"/>
  <c r="F328" i="20" s="1"/>
  <c r="H328" i="20" s="1"/>
  <c r="B329" i="20"/>
  <c r="D329" i="20"/>
  <c r="G329" i="20"/>
  <c r="A330" i="20"/>
  <c r="C329" i="20" l="1"/>
  <c r="E329" i="20"/>
  <c r="F329" i="20" s="1"/>
  <c r="H329" i="20" s="1"/>
  <c r="B330" i="20"/>
  <c r="D330" i="20"/>
  <c r="G330" i="20"/>
  <c r="A331" i="20"/>
  <c r="C330" i="20" l="1"/>
  <c r="E330" i="20"/>
  <c r="F330" i="20" s="1"/>
  <c r="H330" i="20" s="1"/>
  <c r="B331" i="20"/>
  <c r="D331" i="20"/>
  <c r="G331" i="20"/>
  <c r="A332" i="20"/>
  <c r="C331" i="20" l="1"/>
  <c r="E331" i="20"/>
  <c r="F331" i="20" s="1"/>
  <c r="H331" i="20" s="1"/>
  <c r="B332" i="20"/>
  <c r="D332" i="20"/>
  <c r="G332" i="20"/>
  <c r="A333" i="20"/>
  <c r="C332" i="20" l="1"/>
  <c r="E332" i="20"/>
  <c r="F332" i="20" s="1"/>
  <c r="H332" i="20" s="1"/>
  <c r="B333" i="20"/>
  <c r="D333" i="20"/>
  <c r="G333" i="20"/>
  <c r="A334" i="20"/>
  <c r="C333" i="20" l="1"/>
  <c r="E333" i="20"/>
  <c r="F333" i="20" s="1"/>
  <c r="H333" i="20" s="1"/>
  <c r="B334" i="20"/>
  <c r="D334" i="20"/>
  <c r="G334" i="20"/>
  <c r="A335" i="20"/>
  <c r="C334" i="20" l="1"/>
  <c r="E334" i="20"/>
  <c r="F334" i="20" s="1"/>
  <c r="H334" i="20" s="1"/>
  <c r="B335" i="20"/>
  <c r="D335" i="20"/>
  <c r="G335" i="20"/>
  <c r="A336" i="20"/>
  <c r="C335" i="20" l="1"/>
  <c r="E335" i="20"/>
  <c r="F335" i="20" s="1"/>
  <c r="H335" i="20" s="1"/>
  <c r="B336" i="20"/>
  <c r="D336" i="20"/>
  <c r="G336" i="20"/>
  <c r="A337" i="20"/>
  <c r="C336" i="20" l="1"/>
  <c r="E336" i="20"/>
  <c r="F336" i="20" s="1"/>
  <c r="H336" i="20" s="1"/>
  <c r="B337" i="20"/>
  <c r="D337" i="20"/>
  <c r="G337" i="20"/>
  <c r="A338" i="20"/>
  <c r="C337" i="20" l="1"/>
  <c r="E337" i="20"/>
  <c r="F337" i="20" s="1"/>
  <c r="H337" i="20" s="1"/>
  <c r="B338" i="20"/>
  <c r="D338" i="20"/>
  <c r="G338" i="20"/>
  <c r="A339" i="20"/>
  <c r="C338" i="20" l="1"/>
  <c r="E338" i="20"/>
  <c r="F338" i="20" s="1"/>
  <c r="H338" i="20" s="1"/>
  <c r="B339" i="20"/>
  <c r="D339" i="20"/>
  <c r="G339" i="20"/>
  <c r="A340" i="20"/>
  <c r="C339" i="20" l="1"/>
  <c r="E339" i="20"/>
  <c r="F339" i="20" s="1"/>
  <c r="H339" i="20" s="1"/>
  <c r="B340" i="20"/>
  <c r="A341" i="20"/>
  <c r="G340" i="20"/>
  <c r="D340" i="20"/>
  <c r="E340" i="20" l="1"/>
  <c r="F340" i="20" s="1"/>
  <c r="H340" i="20" s="1"/>
  <c r="C340" i="20"/>
  <c r="D341" i="20"/>
  <c r="G341" i="20"/>
  <c r="A342" i="20"/>
  <c r="B341" i="20"/>
  <c r="A343" i="20" l="1"/>
  <c r="B342" i="20"/>
  <c r="G342" i="20"/>
  <c r="D342" i="20"/>
  <c r="E341" i="20"/>
  <c r="F341" i="20" s="1"/>
  <c r="H341" i="20" s="1"/>
  <c r="C341" i="20"/>
  <c r="G343" i="20" l="1"/>
  <c r="B343" i="20"/>
  <c r="D343" i="20"/>
  <c r="A344" i="20"/>
  <c r="E342" i="20"/>
  <c r="F342" i="20" s="1"/>
  <c r="H342" i="20" s="1"/>
  <c r="C342" i="20"/>
  <c r="E343" i="20" l="1"/>
  <c r="F343" i="20" s="1"/>
  <c r="H343" i="20" s="1"/>
  <c r="C343" i="20"/>
  <c r="D344" i="20"/>
  <c r="G344" i="20"/>
  <c r="B344" i="20"/>
  <c r="A345" i="20"/>
  <c r="E344" i="20" l="1"/>
  <c r="F344" i="20" s="1"/>
  <c r="H344" i="20" s="1"/>
  <c r="C344" i="20"/>
  <c r="A346" i="20"/>
  <c r="B345" i="20"/>
  <c r="D345" i="20"/>
  <c r="G345" i="20"/>
  <c r="B346" i="20" l="1"/>
  <c r="D346" i="20"/>
  <c r="A347" i="20"/>
  <c r="G346" i="20"/>
  <c r="C345" i="20"/>
  <c r="E345" i="20"/>
  <c r="F345" i="20" s="1"/>
  <c r="H345" i="20" s="1"/>
  <c r="E346" i="20" l="1"/>
  <c r="F346" i="20" s="1"/>
  <c r="H346" i="20" s="1"/>
  <c r="C346" i="20"/>
  <c r="D347" i="20"/>
  <c r="B347" i="20"/>
  <c r="A348" i="20"/>
  <c r="G347" i="20"/>
  <c r="E347" i="20" l="1"/>
  <c r="F347" i="20" s="1"/>
  <c r="H347" i="20" s="1"/>
  <c r="C347" i="20"/>
  <c r="D348" i="20"/>
  <c r="B348" i="20"/>
  <c r="A349" i="20"/>
  <c r="G348" i="20"/>
  <c r="E348" i="20" l="1"/>
  <c r="F348" i="20" s="1"/>
  <c r="H348" i="20" s="1"/>
  <c r="C348" i="20"/>
  <c r="G349" i="20"/>
  <c r="D349" i="20"/>
  <c r="A350" i="20"/>
  <c r="B349" i="20"/>
  <c r="D350" i="20" l="1"/>
  <c r="B350" i="20"/>
  <c r="A351" i="20"/>
  <c r="G350" i="20"/>
  <c r="E349" i="20"/>
  <c r="F349" i="20" s="1"/>
  <c r="H349" i="20" s="1"/>
  <c r="C349" i="20"/>
  <c r="E350" i="20" l="1"/>
  <c r="F350" i="20" s="1"/>
  <c r="H350" i="20" s="1"/>
  <c r="C350" i="20"/>
  <c r="B351" i="20"/>
  <c r="D351" i="20"/>
  <c r="G351" i="20"/>
  <c r="A352" i="20"/>
  <c r="C351" i="20" l="1"/>
  <c r="E351" i="20"/>
  <c r="F351" i="20" s="1"/>
  <c r="H351" i="20" s="1"/>
  <c r="G352" i="20"/>
  <c r="B352" i="20"/>
  <c r="A353" i="20"/>
  <c r="D352" i="20"/>
  <c r="E352" i="20" l="1"/>
  <c r="F352" i="20" s="1"/>
  <c r="H352" i="20" s="1"/>
  <c r="C352" i="20"/>
  <c r="G353" i="20"/>
  <c r="A354" i="20"/>
  <c r="D353" i="20"/>
  <c r="B353" i="20"/>
  <c r="D354" i="20" l="1"/>
  <c r="A355" i="20"/>
  <c r="B354" i="20"/>
  <c r="G354" i="20"/>
  <c r="E353" i="20"/>
  <c r="F353" i="20" s="1"/>
  <c r="H353" i="20" s="1"/>
  <c r="C353" i="20"/>
  <c r="G355" i="20" l="1"/>
  <c r="D355" i="20"/>
  <c r="A356" i="20"/>
  <c r="B355" i="20"/>
  <c r="C354" i="20"/>
  <c r="E354" i="20"/>
  <c r="F354" i="20" s="1"/>
  <c r="H354" i="20" s="1"/>
  <c r="B356" i="20" l="1"/>
  <c r="G356" i="20"/>
  <c r="A357" i="20"/>
  <c r="D356" i="20"/>
  <c r="C355" i="20"/>
  <c r="E355" i="20"/>
  <c r="F355" i="20" s="1"/>
  <c r="H355" i="20" s="1"/>
  <c r="C356" i="20" l="1"/>
  <c r="E356" i="20"/>
  <c r="F356" i="20" s="1"/>
  <c r="H356" i="20" s="1"/>
  <c r="D357" i="20"/>
  <c r="B357" i="20"/>
  <c r="G357" i="20"/>
  <c r="A358" i="20"/>
  <c r="E357" i="20" l="1"/>
  <c r="F357" i="20" s="1"/>
  <c r="H357" i="20" s="1"/>
  <c r="C357" i="20"/>
  <c r="D358" i="20"/>
  <c r="A359" i="20"/>
  <c r="B358" i="20"/>
  <c r="G358" i="20"/>
  <c r="G359" i="20" l="1"/>
  <c r="A360" i="20"/>
  <c r="B359" i="20"/>
  <c r="D359" i="20"/>
  <c r="C358" i="20"/>
  <c r="E358" i="20"/>
  <c r="F358" i="20" s="1"/>
  <c r="H358" i="20" s="1"/>
  <c r="D360" i="20" l="1"/>
  <c r="A361" i="20"/>
  <c r="G360" i="20"/>
  <c r="B360" i="20"/>
  <c r="E359" i="20"/>
  <c r="F359" i="20" s="1"/>
  <c r="H359" i="20" s="1"/>
  <c r="C359" i="20"/>
  <c r="B361" i="20" l="1"/>
  <c r="D361" i="20"/>
  <c r="G361" i="20"/>
  <c r="A362" i="20"/>
  <c r="E360" i="20"/>
  <c r="F360" i="20" s="1"/>
  <c r="H360" i="20" s="1"/>
  <c r="C360" i="20"/>
  <c r="C361" i="20" l="1"/>
  <c r="E361" i="20"/>
  <c r="F361" i="20" s="1"/>
  <c r="H361" i="20" s="1"/>
  <c r="D362" i="20"/>
  <c r="G362" i="20"/>
  <c r="B362" i="20"/>
  <c r="A363" i="20"/>
  <c r="E362" i="20" l="1"/>
  <c r="F362" i="20" s="1"/>
  <c r="H362" i="20" s="1"/>
  <c r="C362" i="20"/>
  <c r="A364" i="20"/>
  <c r="B363" i="20"/>
  <c r="D363" i="20"/>
  <c r="G363" i="20"/>
  <c r="B364" i="20" l="1"/>
  <c r="D364" i="20"/>
  <c r="A365" i="20"/>
  <c r="G364" i="20"/>
  <c r="C363" i="20"/>
  <c r="E363" i="20"/>
  <c r="F363" i="20" s="1"/>
  <c r="H363" i="20" s="1"/>
  <c r="C364" i="20" l="1"/>
  <c r="E364" i="20"/>
  <c r="F364" i="20" s="1"/>
  <c r="H364" i="20" s="1"/>
  <c r="G365" i="20"/>
  <c r="B365" i="20"/>
  <c r="D365" i="20"/>
  <c r="A366" i="20"/>
  <c r="C365" i="20" l="1"/>
  <c r="E365" i="20"/>
  <c r="F365" i="20" s="1"/>
  <c r="H365" i="20" s="1"/>
  <c r="D366" i="20"/>
  <c r="B366" i="20"/>
  <c r="G366" i="20"/>
  <c r="C366" i="20" l="1"/>
  <c r="E366" i="20"/>
  <c r="F366" i="20" s="1"/>
  <c r="H366" i="20" s="1"/>
  <c r="B13" i="23" l="1"/>
  <c r="G135" i="18"/>
  <c r="G109" i="18"/>
  <c r="G16" i="18"/>
  <c r="G11" i="18"/>
  <c r="B7" i="23"/>
  <c r="G134" i="18"/>
  <c r="G79" i="18"/>
  <c r="G111" i="18"/>
  <c r="G59" i="18"/>
  <c r="N7" i="25"/>
  <c r="G19" i="18"/>
  <c r="G133" i="18"/>
  <c r="G118" i="18"/>
  <c r="G119" i="18"/>
  <c r="G68" i="18"/>
  <c r="B26" i="23"/>
  <c r="G75" i="18"/>
  <c r="J7" i="25"/>
  <c r="B15" i="23"/>
  <c r="F7" i="25"/>
  <c r="B24" i="23"/>
  <c r="B20" i="23"/>
  <c r="B22" i="23"/>
  <c r="G81" i="18"/>
  <c r="G77" i="18"/>
  <c r="G76" i="18"/>
  <c r="G42" i="18"/>
  <c r="G99" i="18"/>
  <c r="G91" i="18"/>
  <c r="G67" i="18"/>
  <c r="G35" i="18"/>
  <c r="G32" i="18"/>
  <c r="G102" i="18"/>
  <c r="G85" i="18"/>
  <c r="G96" i="18"/>
  <c r="G66" i="18"/>
  <c r="G65" i="18"/>
  <c r="G63" i="18"/>
  <c r="G41" i="18"/>
  <c r="B20" i="25"/>
  <c r="G127" i="18"/>
  <c r="G121" i="18"/>
  <c r="G8" i="18"/>
  <c r="G103" i="18"/>
  <c r="G27" i="18"/>
  <c r="G54" i="18"/>
  <c r="G52" i="18"/>
  <c r="G44" i="18"/>
  <c r="G43" i="18"/>
  <c r="G129" i="18"/>
  <c r="G126" i="18"/>
  <c r="G98" i="18"/>
  <c r="F20" i="25"/>
  <c r="G124" i="18"/>
  <c r="J20" i="25"/>
  <c r="G56" i="18"/>
  <c r="G123" i="18"/>
  <c r="G108" i="18"/>
  <c r="G40" i="18"/>
  <c r="G39" i="18"/>
  <c r="G31" i="18"/>
  <c r="G30" i="18"/>
  <c r="G28" i="18"/>
  <c r="G23" i="18"/>
  <c r="G132" i="18"/>
  <c r="G131" i="18"/>
  <c r="G64" i="18"/>
  <c r="N20" i="25"/>
  <c r="G130" i="18"/>
  <c r="G87" i="18"/>
  <c r="G122" i="18"/>
  <c r="G125" i="18"/>
  <c r="G101" i="18"/>
  <c r="G117" i="18"/>
  <c r="G100" i="18"/>
  <c r="G128" i="18"/>
  <c r="G20" i="18"/>
  <c r="G15" i="18"/>
  <c r="G120" i="18"/>
  <c r="G107" i="18"/>
  <c r="G105" i="18"/>
  <c r="G116" i="18"/>
  <c r="G18" i="18"/>
  <c r="G95" i="18"/>
  <c r="G90" i="18"/>
  <c r="G88" i="18"/>
  <c r="G51" i="18"/>
  <c r="G86" i="18"/>
  <c r="G84" i="18"/>
  <c r="G89" i="18"/>
  <c r="G83" i="18"/>
  <c r="G29" i="18"/>
  <c r="G17" i="18"/>
  <c r="G104" i="18"/>
  <c r="G82" i="18"/>
  <c r="G80" i="18"/>
  <c r="G78" i="18"/>
  <c r="G71" i="18"/>
  <c r="G47" i="18"/>
  <c r="G115" i="18"/>
  <c r="G53" i="18"/>
  <c r="G114" i="18"/>
  <c r="G113" i="18"/>
  <c r="G112" i="18"/>
  <c r="G110" i="18"/>
  <c r="G106" i="18"/>
  <c r="G97" i="18"/>
  <c r="G55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<sst xmlns="http://schemas.openxmlformats.org/spreadsheetml/2006/main" count="1081" uniqueCount="240">
  <si>
    <t>PS</t>
  </si>
  <si>
    <t>Liquidação total de projetos qdo aplicável</t>
  </si>
  <si>
    <t>CJ88</t>
  </si>
  <si>
    <t>AA</t>
  </si>
  <si>
    <t>Lançar depreciação</t>
  </si>
  <si>
    <t>AFAB</t>
  </si>
  <si>
    <t>FI-AP</t>
  </si>
  <si>
    <t>Emissão de relatório de partidas em aberto - em 31/05</t>
  </si>
  <si>
    <t>FBL1N</t>
  </si>
  <si>
    <t>FI-AR</t>
  </si>
  <si>
    <t>FBL5N</t>
  </si>
  <si>
    <t>AR/AP</t>
  </si>
  <si>
    <t>Atualizar taxas de conversão de moeda</t>
  </si>
  <si>
    <t>OB08</t>
  </si>
  <si>
    <t>MM</t>
  </si>
  <si>
    <t>Diferir período para abertura do mês seguinte</t>
  </si>
  <si>
    <t>MMPV</t>
  </si>
  <si>
    <t>Duda</t>
  </si>
  <si>
    <t>FI</t>
  </si>
  <si>
    <t>Abrir novo período contábil</t>
  </si>
  <si>
    <t>OB52</t>
  </si>
  <si>
    <t>S_ALR_87003642</t>
  </si>
  <si>
    <t>FI-GL</t>
  </si>
  <si>
    <t>Efetuar compensação de contas</t>
  </si>
  <si>
    <t>F.19</t>
  </si>
  <si>
    <t>Avaliação em moeda estrangeira</t>
  </si>
  <si>
    <t>F.05</t>
  </si>
  <si>
    <t>FAGL_FC_VAL</t>
  </si>
  <si>
    <t>Bloquear períodos contábeis</t>
  </si>
  <si>
    <t xml:space="preserve">P&amp;L - Preliminar Gerar  Summary </t>
  </si>
  <si>
    <t>GRR3</t>
  </si>
  <si>
    <t xml:space="preserve">CRONOGRAMA FECHAMENTO - JANEIRO </t>
  </si>
  <si>
    <t>Nº</t>
  </si>
  <si>
    <t>ATIVIDADES</t>
  </si>
  <si>
    <t>AREA</t>
  </si>
  <si>
    <t>Responsavel</t>
  </si>
  <si>
    <t>Dia Maximo</t>
  </si>
  <si>
    <t>Horario Maximo</t>
  </si>
  <si>
    <t>Entregue em</t>
  </si>
  <si>
    <t>Horário entrega</t>
  </si>
  <si>
    <t xml:space="preserve">Integração Contabil </t>
  </si>
  <si>
    <t>Status</t>
  </si>
  <si>
    <t>Folha de Pagamento</t>
  </si>
  <si>
    <t>DP</t>
  </si>
  <si>
    <t>Marta/ Elizete</t>
  </si>
  <si>
    <t>3° dia util</t>
  </si>
  <si>
    <t>Compras</t>
  </si>
  <si>
    <t>Suprimentos</t>
  </si>
  <si>
    <t>Marcus/ Leânia</t>
  </si>
  <si>
    <t xml:space="preserve">5° dia util </t>
  </si>
  <si>
    <t>Vendas</t>
  </si>
  <si>
    <t xml:space="preserve">Faturamento </t>
  </si>
  <si>
    <t>Marcus/ Fabiana</t>
  </si>
  <si>
    <t>Estoque</t>
  </si>
  <si>
    <t xml:space="preserve">Contas a Pagar </t>
  </si>
  <si>
    <t>Financeiro</t>
  </si>
  <si>
    <t>Contas a Receber</t>
  </si>
  <si>
    <t>Tesouraria</t>
  </si>
  <si>
    <t>Patrimômio (movimentação)</t>
  </si>
  <si>
    <t>Patrimonio</t>
  </si>
  <si>
    <t>Tributos</t>
  </si>
  <si>
    <t>Fiscal</t>
  </si>
  <si>
    <t xml:space="preserve"> * A GERENCIA DE CADA ÁREA DEVERÁ GARANTIR O FECHAMENTO DO CRONOGRAMA NOS DIAS E HORÁRIOS FIXADOS</t>
  </si>
  <si>
    <t>Atividade</t>
  </si>
  <si>
    <t>responsável</t>
  </si>
  <si>
    <t>Data Final</t>
  </si>
  <si>
    <t>Contábil</t>
  </si>
  <si>
    <t>Contábil/Integração</t>
  </si>
  <si>
    <t>Iviane/ Equipe Contábil</t>
  </si>
  <si>
    <t>12º dia útil - 19/jan</t>
  </si>
  <si>
    <t>Balancete Fechado</t>
  </si>
  <si>
    <t>5º dia útil - 08/jan</t>
  </si>
  <si>
    <t>3º dia útil - 06/jan</t>
  </si>
  <si>
    <t>Marcus</t>
  </si>
  <si>
    <t>2º dia útil - 05/jan</t>
  </si>
  <si>
    <t>Patricia/ Walis/ Beatriz</t>
  </si>
  <si>
    <t>Patricia/ Thaynara</t>
  </si>
  <si>
    <t>Patricia/ Regicléssia</t>
  </si>
  <si>
    <t>Iviane</t>
  </si>
  <si>
    <t>4º dia útil - 07/jan</t>
  </si>
  <si>
    <t>Juíra/ Guilherme</t>
  </si>
  <si>
    <t>Total Geral</t>
  </si>
  <si>
    <t>D.U</t>
  </si>
  <si>
    <t>16º dia útil - 23/mar</t>
  </si>
  <si>
    <t>5º dia útil - 06/mar</t>
  </si>
  <si>
    <t>4º dia útil - 05/mar</t>
  </si>
  <si>
    <t>1º dia útil - 02/mar</t>
  </si>
  <si>
    <t>Patricia/ Walis</t>
  </si>
  <si>
    <t>2º dia útil - 03/mar</t>
  </si>
  <si>
    <t>Patricia/ Luciene</t>
  </si>
  <si>
    <t>Patricia/Luciene</t>
  </si>
  <si>
    <t>3º dia útil - 04/mar</t>
  </si>
  <si>
    <t>Kaio/ Gabriely</t>
  </si>
  <si>
    <t>RESPONSÁVEL</t>
  </si>
  <si>
    <t>DIA MÁXIMO</t>
  </si>
  <si>
    <t>(vazio)</t>
  </si>
  <si>
    <t>(Vários itens)</t>
  </si>
  <si>
    <t>Rótulos de Linha</t>
  </si>
  <si>
    <t>Contas a Pagar</t>
  </si>
  <si>
    <t>Jamile</t>
  </si>
  <si>
    <t>Patricia/ Regiclessia</t>
  </si>
  <si>
    <t xml:space="preserve"> * A GERENCIA DE CADA ÁREA DEVERÁ GARANTIR O FECHAMENTO DO CRONOGRAMA NOS DIAS E HORÁRIOS PREVISTOS</t>
  </si>
  <si>
    <t>Empresa</t>
  </si>
  <si>
    <t>x</t>
  </si>
  <si>
    <t>Obs</t>
  </si>
  <si>
    <t>LOGISTICA</t>
  </si>
  <si>
    <t>Kaio/Erica</t>
  </si>
  <si>
    <t xml:space="preserve"> Gabriely</t>
  </si>
  <si>
    <t>Joyce</t>
  </si>
  <si>
    <t>BIOMASSA</t>
  </si>
  <si>
    <t>COMBER SA</t>
  </si>
  <si>
    <t>FLORESTAL TO</t>
  </si>
  <si>
    <t>SEMINOVOS</t>
  </si>
  <si>
    <t>CAMINHÕES MT</t>
  </si>
  <si>
    <t>Joyce/ Equipe Contábil</t>
  </si>
  <si>
    <t>LOCAÇÕES</t>
  </si>
  <si>
    <t>GRUNE</t>
  </si>
  <si>
    <t>IFL PATRIMONIAL</t>
  </si>
  <si>
    <t>IFL PARTICIPAÇÕES</t>
  </si>
  <si>
    <t>FT4 COMELLI HOLDING</t>
  </si>
  <si>
    <t>LC COMELLI HOLDING</t>
  </si>
  <si>
    <t>COMELLI PARTICIPAÇÕES</t>
  </si>
  <si>
    <t xml:space="preserve">Folha integração </t>
  </si>
  <si>
    <t xml:space="preserve">DP </t>
  </si>
  <si>
    <t xml:space="preserve">Elizete </t>
  </si>
  <si>
    <t>5° dia útil 06/08</t>
  </si>
  <si>
    <t xml:space="preserve">IJC </t>
  </si>
  <si>
    <t xml:space="preserve">FT4 </t>
  </si>
  <si>
    <t xml:space="preserve">LC </t>
  </si>
  <si>
    <t xml:space="preserve">COMBER INDUSTRIA SUL </t>
  </si>
  <si>
    <t>COMBER INDUSTRIA GO</t>
  </si>
  <si>
    <t>CRONOGRAMA FECHAMENTO - JUNHO</t>
  </si>
  <si>
    <t>IFL COMELLI PARTICIPACOES LTDA</t>
  </si>
  <si>
    <t>IFL COMELLI PATRIMONIAL LTDA</t>
  </si>
  <si>
    <t>FT4 COMELLI HOLDING LTDA</t>
  </si>
  <si>
    <t>COMELLI PARTICIPACOES LTDA</t>
  </si>
  <si>
    <t>OK</t>
  </si>
  <si>
    <t>Maria</t>
  </si>
  <si>
    <t>ok</t>
  </si>
  <si>
    <t>Sem movimento</t>
  </si>
  <si>
    <t>GUILHERME GUEDES</t>
  </si>
  <si>
    <t>Data</t>
  </si>
  <si>
    <t>Dia da semana</t>
  </si>
  <si>
    <t>Dia da semana (texto)</t>
  </si>
  <si>
    <t>Feriado</t>
  </si>
  <si>
    <t>d.u. (S/N)</t>
  </si>
  <si>
    <t>dia util</t>
  </si>
  <si>
    <t>Semana</t>
  </si>
  <si>
    <t>Chave</t>
  </si>
  <si>
    <t>Feriado / Ponto Facultativo</t>
  </si>
  <si>
    <t>Tipo</t>
  </si>
  <si>
    <t>Confraternização Universal</t>
  </si>
  <si>
    <t>Nacional</t>
  </si>
  <si>
    <t>São Sebastião (Padroeiro da Cidade)</t>
  </si>
  <si>
    <t>Municipal</t>
  </si>
  <si>
    <t>Carnaval</t>
  </si>
  <si>
    <t>Ponto Facultativo</t>
  </si>
  <si>
    <t>Paixão de Cristo (Sexta-feira Santa)</t>
  </si>
  <si>
    <t>Tiradentes</t>
  </si>
  <si>
    <t>Dia do Trabalho</t>
  </si>
  <si>
    <t>Fundação da Cidade de Goiás</t>
  </si>
  <si>
    <t>Estadual (Facultativo)</t>
  </si>
  <si>
    <t>Aniversário de Rio Verde</t>
  </si>
  <si>
    <t>Independência do Brasil</t>
  </si>
  <si>
    <t>Nossa Senhora Aparecida</t>
  </si>
  <si>
    <t>Lançamento da Pedra Fundamental de Goiânia</t>
  </si>
  <si>
    <t>Dia do Servidor Público</t>
  </si>
  <si>
    <t>Finados</t>
  </si>
  <si>
    <t>Proclamação da República</t>
  </si>
  <si>
    <t>Dia de Zumbi e da Consciência Negra</t>
  </si>
  <si>
    <t>Natal</t>
  </si>
  <si>
    <t>A gerência de cada área deverá garantir o fechamento das entregas nos dias e horários previstos.</t>
  </si>
  <si>
    <t>ÁREA</t>
  </si>
  <si>
    <t>ATIVIDADE</t>
  </si>
  <si>
    <t>EMPRESAS ENVOLVIDAS</t>
  </si>
  <si>
    <t>ENTREGAS</t>
  </si>
  <si>
    <t>ATÉ</t>
  </si>
  <si>
    <t>Marcus · Leânia</t>
  </si>
  <si>
    <t>Logística · Biomassa · Comber SA · Florestal TO · Seminovos · Caminhões MT · Locações</t>
  </si>
  <si>
    <t>Faturamento</t>
  </si>
  <si>
    <t>Marcus · Fabiana</t>
  </si>
  <si>
    <t>Marcus · Simone</t>
  </si>
  <si>
    <t>Patrícia · Regicléssia · Jamile</t>
  </si>
  <si>
    <t>Operacionais (7)  +  Holdings (IFL Patrimonial, IFL Participações, FT4, LC Comelli, Comelli Part.)</t>
  </si>
  <si>
    <t>Patrícia · Luciene · Jamile</t>
  </si>
  <si>
    <t>Patrimônio</t>
  </si>
  <si>
    <t>Patrimônio (movimentação)</t>
  </si>
  <si>
    <t>Gabriely · Jamile</t>
  </si>
  <si>
    <t>Operacionais (7)  ·  Grune  ·  IFL Patrimonial</t>
  </si>
  <si>
    <t>Joyce · Mariana</t>
  </si>
  <si>
    <t>Danilo · Elizete</t>
  </si>
  <si>
    <t>Logística · Biomassa · Comber SA · Florestal TO · Seminovos · Caminhões MT</t>
  </si>
  <si>
    <t>Contábil / Integração</t>
  </si>
  <si>
    <t>Joyce · Equipe Contábil</t>
  </si>
  <si>
    <t>Dias úteis calculados automaticamente pelo calendário (aba ListBox). Alterações de prazo devem ser feitas na aba Consolidado- Comber.</t>
  </si>
  <si>
    <t>BASE AUXILIAR — não alterar</t>
  </si>
  <si>
    <t>Empresas do grupo</t>
  </si>
  <si>
    <t>Dia útil</t>
  </si>
  <si>
    <t>Áreas</t>
  </si>
  <si>
    <t>CRONOGRAMA DE FECHAMENTO</t>
  </si>
  <si>
    <t>Fechamento das áreas operacionais</t>
  </si>
  <si>
    <t>Financeiro, tesouraria e patrimônio</t>
  </si>
  <si>
    <t>Apuração de tributos</t>
  </si>
  <si>
    <t>Folha de pagamento</t>
  </si>
  <si>
    <t>Integração contábil</t>
  </si>
  <si>
    <t>Entrega do balancete fechado</t>
  </si>
  <si>
    <t>Datas calculadas pelo calendário de dias úteis. Fonte: abas Cronograma Fechamento e Consolidado- Comber.</t>
  </si>
  <si>
    <t>Prezados,</t>
  </si>
  <si>
    <t>A gerência de cada área é responsável por garantir o fechamento das suas entregas nos dias e horários previstos. Eventuais impedimentos devem ser comunicados à Controladoria antes do prazo, e não após.</t>
  </si>
  <si>
    <t>Em anexo, o cronograma completo com as atividades e os respectivos responsáveis.</t>
  </si>
  <si>
    <t>Atenciosamente,</t>
  </si>
  <si>
    <t>Controladoria – Grupo Comber</t>
  </si>
  <si>
    <t>CRONOGRAMA FECHAMENTO - SETEMBRO 2026</t>
  </si>
  <si>
    <t>ULTIMO DIA DO MÊS 09</t>
  </si>
  <si>
    <t>Escrita Fiscal</t>
  </si>
  <si>
    <t>Kaio · Erica</t>
  </si>
  <si>
    <t>Validação Fiscal</t>
  </si>
  <si>
    <t>Correção Validação Fiscal</t>
  </si>
  <si>
    <t>Áreas apontadas</t>
  </si>
  <si>
    <t>Validação fiscal</t>
  </si>
  <si>
    <t>Correção da validação fiscal</t>
  </si>
  <si>
    <t>Dica: para o corpo do e-mail, selecione A1:Q31 na aba 'Cards Fechamento', copie e cole como imagem. As datas acima se atualizam sozinhas quando o mês muda.</t>
  </si>
  <si>
    <t>Iniciar apuração de Tributos</t>
  </si>
  <si>
    <t>Marcus - Leania</t>
  </si>
  <si>
    <t>Marcus - Fabiana</t>
  </si>
  <si>
    <t>Marcus - Simone</t>
  </si>
  <si>
    <t>Kaio - Erica</t>
  </si>
  <si>
    <t>Joyce - Mariana</t>
  </si>
  <si>
    <t>Compras/Vendas/Estoque/Escrita</t>
  </si>
  <si>
    <t>Início das apurações fiscais</t>
  </si>
  <si>
    <t>Início da contabilidade</t>
  </si>
  <si>
    <t>Dia das correções</t>
  </si>
  <si>
    <t>Trava do sistema e validação fiscal</t>
  </si>
  <si>
    <t>Entrega dos impostos apurados (menos PIS/COFINS que precisa da contabilidade finalizada)</t>
  </si>
  <si>
    <t>5 dias uteis depois do inicio das apurações</t>
  </si>
  <si>
    <t>Entrega da contabilidade</t>
  </si>
  <si>
    <t>Danilo - Elizete</t>
  </si>
  <si>
    <t>Patricia - Regiclessia</t>
  </si>
  <si>
    <t>Patricia - Luciene</t>
  </si>
  <si>
    <t>Kaio - Gabriely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</si>
</sst>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h:mm"/>
    <numFmt numFmtId="190" formatCode="dd/mmm"/>
  </numFmts>
  <fonts count="1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2"/>
      <name val="Aptos"/>
      <family val="2"/>
    </font>
    <font>
      <b/>
      <sz val="12"/>
      <color indexed="9"/>
      <name val="Aptos"/>
      <family val="2"/>
    </font>
    <font>
      <b/>
      <sz val="12"/>
      <color indexed="8"/>
      <name val="Aptos"/>
      <family val="2"/>
    </font>
    <font>
      <sz val="11"/>
      <name val="Aptos"/>
      <family val="2"/>
    </font>
    <font>
      <sz val="11"/>
      <color indexed="8"/>
      <name val="Aptos"/>
      <family val="2"/>
    </font>
    <font>
      <b/>
      <sz val="11"/>
      <color rgb="FFFF0000"/>
      <name val="Aptos"/>
      <family val="2"/>
    </font>
    <font>
      <b/>
      <sz val="12"/>
      <color rgb="FFFF0000"/>
      <name val="Aptos"/>
      <family val="2"/>
    </font>
    <font>
      <sz val="11"/>
      <color rgb="FF000000"/>
      <name val="Aptos"/>
      <family val="2"/>
    </font>
    <font>
      <b/>
      <sz val="9"/>
      <color rgb="FFFF0000"/>
      <name val="Aptos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sz val="10"/>
      <color theme="9" tint="-0.499984740745262"/>
      <name val="Arial"/>
      <family val="2"/>
    </font>
    <font>
      <sz val="12"/>
      <color theme="0"/>
      <name val="Aptos"/>
      <family val="2"/>
    </font>
    <font>
      <b/>
      <sz val="12"/>
      <color rgb="FF000000"/>
      <name val="Aptos"/>
      <family val="2"/>
    </font>
    <font>
      <b/>
      <sz val="9"/>
      <color rgb="FF7F7F7F"/>
      <name val="Aptos"/>
      <family val="2"/>
    </font>
    <font>
      <b/>
      <sz val="9"/>
      <color rgb="FF404040"/>
      <name val="Aptos"/>
      <family val="2"/>
    </font>
    <font>
      <sz val="9"/>
      <color rgb="FF808080"/>
      <name val="Aptos"/>
      <family val="2"/>
    </font>
    <font>
      <b/>
      <sz val="9.5"/>
      <color rgb="FFC00000"/>
      <name val="Aptos"/>
      <family val="2"/>
    </font>
    <font>
      <b/>
      <sz val="9"/>
      <color rgb="FFFFFFFF"/>
      <name val="Aptos"/>
      <family val="2"/>
    </font>
    <font>
      <b/>
      <sz val="10.5"/>
      <color rgb="FFFFFFFF"/>
      <name val="Aptos"/>
      <family val="2"/>
    </font>
    <font>
      <sz val="10"/>
      <color rgb="FF26374A"/>
      <name val="Aptos"/>
      <family val="2"/>
    </font>
    <font>
      <b/>
      <sz val="9.5"/>
      <color rgb="FFED7D31"/>
      <name val="Aptos"/>
      <family val="2"/>
    </font>
    <font>
      <b/>
      <sz val="10"/>
      <color rgb="FF26374A"/>
      <name val="Aptos"/>
      <family val="2"/>
    </font>
    <font>
      <sz val="9"/>
      <color rgb="FF5A6B7D"/>
      <name val="Aptos"/>
      <family val="2"/>
    </font>
    <font>
      <b/>
      <sz val="9.5"/>
      <color rgb="FFBF8F00"/>
      <name val="Aptos"/>
      <family val="2"/>
    </font>
    <font>
      <b/>
      <sz val="9.5"/>
      <color rgb="FF1F6FB2"/>
      <name val="Aptos"/>
      <family val="2"/>
    </font>
    <font>
      <b/>
      <sz val="9.5"/>
      <color rgb="FF5B5B5B"/>
      <name val="Aptos"/>
      <family val="2"/>
    </font>
    <font>
      <b/>
      <sz val="9.5"/>
      <color rgb="FFC55A11"/>
      <name val="Aptos"/>
      <family val="2"/>
    </font>
    <font>
      <b/>
      <sz val="9.5"/>
      <color rgb="FF7030A0"/>
      <name val="Aptos"/>
      <family val="2"/>
    </font>
    <font>
      <b/>
      <sz val="9.5"/>
      <color rgb="FF548235"/>
      <name val="Aptos"/>
      <family val="2"/>
    </font>
    <font>
      <sz val="8.5"/>
      <color rgb="FF8496A8"/>
      <name val="Aptos"/>
      <family val="2"/>
    </font>
    <font>
      <i/>
      <sz val="8.5"/>
      <color rgb="FF8496A8"/>
      <name val="Aptos"/>
      <family val="2"/>
    </font>
    <font>
      <b/>
      <sz val="16"/>
      <color rgb="FFFFFFFF"/>
      <name val="Aptos"/>
      <family val="2"/>
    </font>
    <font>
      <b/>
      <sz val="12"/>
      <color rgb="FFFFFFFF"/>
      <name val="Aptos"/>
      <family val="2"/>
    </font>
    <font>
      <b/>
      <sz val="22"/>
      <color rgb="FFFFFFFF"/>
      <name val="Aptos"/>
      <family val="2"/>
    </font>
    <font>
      <b/>
      <sz val="12"/>
      <color rgb="FFDCE6F1"/>
      <name val="Aptos"/>
      <family val="2"/>
    </font>
    <font>
      <b/>
      <sz val="10"/>
      <color rgb="FFC00000"/>
      <name val="Aptos"/>
      <family val="2"/>
    </font>
    <font>
      <b/>
      <sz val="11.5"/>
      <color rgb="FFFFFFFF"/>
      <name val="Aptos"/>
      <family val="2"/>
    </font>
    <font>
      <b/>
      <sz val="9.5"/>
      <color rgb="FF1F4E79"/>
      <name val="Aptos"/>
      <family val="2"/>
    </font>
    <font>
      <b/>
      <sz val="9.5"/>
      <color rgb="FF255E8E"/>
      <name val="Aptos"/>
      <family val="2"/>
    </font>
    <font>
      <b/>
      <sz val="9.5"/>
      <color rgb="FF2E75B6"/>
      <name val="Aptos"/>
      <family val="2"/>
    </font>
    <font>
      <b/>
      <sz val="9.5"/>
      <color rgb="FF4A90C4"/>
      <name val="Aptos"/>
      <family val="2"/>
    </font>
    <font>
      <b/>
      <sz val="9.5"/>
      <color rgb="FF2F7D6E"/>
      <name val="Aptos"/>
      <family val="2"/>
    </font>
    <font>
      <i/>
      <sz val="8.5"/>
      <color rgb="FF9AA7B4"/>
      <name val="Aptos"/>
      <family val="2"/>
    </font>
    <font>
      <b/>
      <sz val="14"/>
      <color rgb="FF26374A"/>
      <name val="Aptos"/>
      <family val="2"/>
    </font>
    <font>
      <b/>
      <sz val="28"/>
      <color rgb="FF1F4E79"/>
      <name val="Aptos"/>
      <family val="2"/>
    </font>
    <font>
      <sz val="28"/>
      <name val="Arial"/>
      <family val="2"/>
    </font>
    <font>
      <b/>
      <sz val="28"/>
      <color rgb="FF255E8E"/>
      <name val="Aptos"/>
      <family val="2"/>
    </font>
    <font>
      <b/>
      <sz val="28"/>
      <color rgb="FF2E75B6"/>
      <name val="Aptos"/>
      <family val="2"/>
    </font>
    <font>
      <b/>
      <sz val="28"/>
      <color rgb="FF548235"/>
      <name val="Aptos"/>
      <family val="2"/>
    </font>
    <font>
      <b/>
      <sz val="28"/>
      <color rgb="FF2F7D6E"/>
      <name val="Aptos"/>
      <family val="2"/>
    </font>
    <font>
      <b/>
      <sz val="28"/>
      <color rgb="FF4A90C4"/>
      <name val="Aptos"/>
      <family val="2"/>
    </font>
    <font>
      <sz val="10"/>
      <color rgb="FF8496A8"/>
      <name val="Aptos"/>
      <family val="2"/>
    </font>
    <font>
      <b/>
      <sz val="13"/>
      <color rgb="FF152C4E"/>
      <name val="Aptos"/>
      <family val="2"/>
    </font>
    <font>
      <sz val="11"/>
      <color rgb="FF26374A"/>
      <name val="Aptos"/>
      <family val="2"/>
    </font>
    <font>
      <b/>
      <sz val="11"/>
      <color rgb="FF152C4E"/>
      <name val="Aptos"/>
      <family val="2"/>
    </font>
    <font>
      <i/>
      <sz val="9"/>
      <color rgb="FF9AA7B4"/>
      <name val="Aptos"/>
      <family val="2"/>
    </font>
    <font>
      <i/>
      <sz val="10"/>
      <color rgb="FF5A6B7D"/>
      <name val="Aptos"/>
      <family val="2"/>
    </font>
    <font>
      <b/>
      <sz val="22"/>
      <color rgb="FF152C4E"/>
      <name val="Aptos"/>
      <family val="2"/>
    </font>
    <font>
      <i/>
      <sz val="10"/>
      <color rgb="FF8496A8"/>
      <name val="Aptos"/>
      <family val="2"/>
    </font>
    <font>
      <b/>
      <sz val="9"/>
      <color rgb="FFFFFFFF"/>
      <name val="Aptos"/>
      <family val="2"/>
    </font>
    <font>
      <b/>
      <sz val="9"/>
      <color rgb="FFFFFFFF"/>
      <name val="Aptos"/>
      <family val="2"/>
    </font>
    <font>
      <b/>
      <sz val="9"/>
      <color rgb="FFFFFFFF"/>
      <name val="Aptos"/>
      <family val="2"/>
    </font>
    <font>
      <sz val="9"/>
      <color rgb="FF8496A8"/>
      <name val="Aptos"/>
      <family val="2"/>
    </font>
    <font>
      <sz val="9"/>
      <color rgb="FF8496A8"/>
      <name val="Aptos"/>
      <family val="2"/>
    </font>
    <font>
      <sz val="9"/>
      <color rgb="FF8496A8"/>
      <name val="Aptos"/>
      <family val="2"/>
    </font>
    <font>
      <sz val="9"/>
      <color rgb="FF8496A8"/>
      <name val="Aptos"/>
      <family val="2"/>
    </font>
    <font>
      <b/>
      <sz val="10"/>
      <color rgb="FF152C4E"/>
      <name val="Aptos"/>
      <family val="2"/>
    </font>
    <font>
      <sz val="9"/>
      <color rgb="FF8496A8"/>
      <name val="Aptos"/>
      <family val="2"/>
    </font>
    <font>
      <b/>
      <sz val="10"/>
      <color rgb="FF1F4E79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10"/>
      <color rgb="FF26374A"/>
      <name val="Aptos"/>
      <family val="2"/>
    </font>
    <font>
      <sz val="9"/>
      <color rgb="FF8496A8"/>
      <name val="Aptos"/>
      <family val="2"/>
    </font>
    <font>
      <b/>
      <sz val="11"/>
      <color rgb="FFFFFFFF"/>
      <name val="Aptos"/>
      <family val="2"/>
    </font>
    <font>
      <sz val="9"/>
      <color rgb="FF26374A"/>
      <name val="Aptos"/>
      <family val="2"/>
    </font>
    <font>
      <b/>
      <sz val="10"/>
      <color rgb="FF255E8E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11"/>
      <color rgb="FFFFFFFF"/>
      <name val="Aptos"/>
      <family val="2"/>
    </font>
    <font>
      <b/>
      <sz val="8"/>
      <color rgb="FF255E8E"/>
      <name val="Aptos"/>
      <family val="2"/>
    </font>
    <font>
      <b/>
      <sz val="10"/>
      <color rgb="FF2E75B6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11"/>
      <color rgb="FFFFFFFF"/>
      <name val="Aptos"/>
      <family val="2"/>
    </font>
    <font>
      <b/>
      <sz val="10"/>
      <color rgb="FF4A90C4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11"/>
      <color rgb="FFFFFFFF"/>
      <name val="Aptos"/>
      <family val="2"/>
    </font>
    <font>
      <b/>
      <sz val="10"/>
      <color rgb="FF2F7D6E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8"/>
      <color rgb="FF2F7D6E"/>
      <name val="Aptos"/>
      <family val="2"/>
    </font>
    <font>
      <sz val="9"/>
      <color rgb="FF26374A"/>
      <name val="Aptos"/>
      <family val="2"/>
    </font>
    <font>
      <b/>
      <sz val="11"/>
      <color rgb="FFFFFFFF"/>
      <name val="Aptos"/>
      <family val="2"/>
    </font>
    <font>
      <b/>
      <sz val="10"/>
      <color rgb="FF548235"/>
      <name val="Aptos"/>
      <family val="2"/>
    </font>
    <font>
      <i/>
      <sz val="9"/>
      <color rgb="FF8496A8"/>
      <name val="Aptos"/>
      <family val="2"/>
    </font>
    <font>
      <sz val="9"/>
      <color rgb="FF26374A"/>
      <name val="Aptos"/>
      <family val="2"/>
    </font>
    <font>
      <b/>
      <sz val="8"/>
      <color rgb="FF548235"/>
      <name val="Aptos"/>
      <family val="2"/>
    </font>
    <font>
      <sz val="9"/>
      <color rgb="FF26374A"/>
      <name val="Aptos"/>
      <family val="2"/>
    </font>
    <font>
      <b/>
      <sz val="11"/>
      <color rgb="FFFFFFFF"/>
      <name val="Aptos"/>
      <family val="2"/>
    </font>
    <font>
      <b/>
      <sz val="9"/>
      <color rgb="FF152C4E"/>
      <name val="Aptos"/>
      <family val="2"/>
    </font>
    <font>
      <sz val="9"/>
      <color rgb="FF26374A"/>
      <name val="Aptos"/>
      <family val="2"/>
    </font>
    <font>
      <i/>
      <sz val="9"/>
      <color rgb="FF8496A8"/>
      <name val="Aptos"/>
      <family val="2"/>
    </font>
  </fonts>
  <fills count="4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E7E7E7"/>
        <bgColor indexed="64"/>
      </patternFill>
    </fill>
    <fill>
      <patternFill patternType="solid">
        <fgColor rgb="FF152C4E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255E8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A90C4"/>
        <bgColor indexed="64"/>
      </patternFill>
    </fill>
    <fill>
      <patternFill patternType="solid">
        <fgColor rgb="FF2F7D6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152C4E"/>
        <bgColor indexed="64"/>
      </patternFill>
    </fill>
    <fill>
      <patternFill patternType="solid">
        <fgColor rgb="FF152C4E"/>
        <bgColor indexed="64"/>
      </patternFill>
    </fill>
    <fill>
      <patternFill patternType="solid">
        <fgColor rgb="FF152C4E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55E8E"/>
        <bgColor indexed="64"/>
      </patternFill>
    </fill>
    <fill>
      <patternFill patternType="solid">
        <fgColor rgb="FFC1D1D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A90C4"/>
        <bgColor indexed="64"/>
      </patternFill>
    </fill>
    <fill>
      <patternFill patternType="solid">
        <fgColor rgb="FFC4DAD6"/>
        <bgColor indexed="64"/>
      </patternFill>
    </fill>
    <fill>
      <patternFill patternType="solid">
        <fgColor rgb="FFC4DAD6"/>
        <bgColor indexed="64"/>
      </patternFill>
    </fill>
    <fill>
      <patternFill patternType="solid">
        <fgColor rgb="FF2F7D6E"/>
        <bgColor indexed="64"/>
      </patternFill>
    </fill>
    <fill>
      <patternFill patternType="solid">
        <fgColor rgb="FFCFDCC6"/>
        <bgColor indexed="64"/>
      </patternFill>
    </fill>
    <fill>
      <patternFill patternType="solid">
        <fgColor rgb="FFCFDCC6"/>
        <bgColor indexed="64"/>
      </patternFill>
    </fill>
    <fill>
      <patternFill patternType="solid">
        <fgColor rgb="FF54823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E8EEF5"/>
      </right>
      <top/>
      <bottom style="thin">
        <color rgb="FFD9E2EC"/>
      </bottom>
      <diagonal/>
    </border>
    <border>
      <left style="thin">
        <color rgb="FFE8EEF5"/>
      </left>
      <right style="thin">
        <color rgb="FFE8EEF5"/>
      </right>
      <top/>
      <bottom style="thin">
        <color rgb="FFD9E2EC"/>
      </bottom>
      <diagonal/>
    </border>
    <border>
      <left style="thin">
        <color rgb="FFE8EEF5"/>
      </left>
      <right/>
      <top/>
      <bottom style="thin">
        <color rgb="FFD9E2EC"/>
      </bottom>
      <diagonal/>
    </border>
    <border>
      <left/>
      <right style="thin">
        <color rgb="FFE8EEF5"/>
      </right>
      <top style="thin">
        <color rgb="FFD9E2EC"/>
      </top>
      <bottom style="thin">
        <color rgb="FFD9E2EC"/>
      </bottom>
      <diagonal/>
    </border>
    <border>
      <left style="thin">
        <color rgb="FFE8EEF5"/>
      </left>
      <right style="thin">
        <color rgb="FFE8EEF5"/>
      </right>
      <top style="thin">
        <color rgb="FFD9E2EC"/>
      </top>
      <bottom style="thin">
        <color rgb="FFD9E2EC"/>
      </bottom>
      <diagonal/>
    </border>
    <border>
      <left style="thin">
        <color rgb="FFE8EEF5"/>
      </left>
      <right/>
      <top style="thin">
        <color rgb="FFD9E2EC"/>
      </top>
      <bottom style="thin">
        <color rgb="FFD9E2EC"/>
      </bottom>
      <diagonal/>
    </border>
    <border>
      <left/>
      <right/>
      <top/>
      <bottom style="medium">
        <color rgb="FF1F497D"/>
      </bottom>
      <diagonal/>
    </border>
    <border>
      <left/>
      <right style="thin">
        <color rgb="FFE8EEF5"/>
      </right>
      <top style="thin">
        <color rgb="FFD9E2EC"/>
      </top>
      <bottom style="medium">
        <color rgb="FF1F497D"/>
      </bottom>
      <diagonal/>
    </border>
    <border>
      <left style="thin">
        <color rgb="FFE8EEF5"/>
      </left>
      <right style="thin">
        <color rgb="FFE8EEF5"/>
      </right>
      <top style="thin">
        <color rgb="FFD9E2EC"/>
      </top>
      <bottom style="medium">
        <color rgb="FF1F497D"/>
      </bottom>
      <diagonal/>
    </border>
    <border>
      <left style="thin">
        <color rgb="FFE8EEF5"/>
      </left>
      <right/>
      <top style="thin">
        <color rgb="FFD9E2EC"/>
      </top>
      <bottom style="medium">
        <color rgb="FF1F497D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rgb="FF1F4E79"/>
      </top>
      <bottom/>
      <diagonal/>
    </border>
    <border>
      <left/>
      <right/>
      <top/>
      <bottom style="thin">
        <color rgb="FF1F4E79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/>
      <right/>
      <top style="thin">
        <color rgb="FF255E8E"/>
      </top>
      <bottom/>
      <diagonal/>
    </border>
    <border>
      <left/>
      <right/>
      <top/>
      <bottom style="thin">
        <color rgb="FF255E8E"/>
      </bottom>
      <diagonal/>
    </border>
    <border>
      <left style="thin">
        <color rgb="FF255E8E"/>
      </left>
      <right/>
      <top style="thin">
        <color rgb="FF255E8E"/>
      </top>
      <bottom/>
      <diagonal/>
    </border>
    <border>
      <left style="thin">
        <color rgb="FF255E8E"/>
      </left>
      <right/>
      <top/>
      <bottom/>
      <diagonal/>
    </border>
    <border>
      <left style="thin">
        <color rgb="FF255E8E"/>
      </left>
      <right/>
      <top/>
      <bottom style="thin">
        <color rgb="FF255E8E"/>
      </bottom>
      <diagonal/>
    </border>
    <border>
      <left/>
      <right style="thin">
        <color rgb="FF255E8E"/>
      </right>
      <top style="thin">
        <color rgb="FF255E8E"/>
      </top>
      <bottom/>
      <diagonal/>
    </border>
    <border>
      <left/>
      <right style="thin">
        <color rgb="FF255E8E"/>
      </right>
      <top/>
      <bottom/>
      <diagonal/>
    </border>
    <border>
      <left/>
      <right style="thin">
        <color rgb="FF255E8E"/>
      </right>
      <top/>
      <bottom style="thin">
        <color rgb="FF255E8E"/>
      </bottom>
      <diagonal/>
    </border>
    <border>
      <left/>
      <right/>
      <top style="thin">
        <color rgb="FF2E75B6"/>
      </top>
      <bottom/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thin">
        <color rgb="FF2E75B6"/>
      </left>
      <right/>
      <top/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 style="thin">
        <color rgb="FF2E75B6"/>
      </right>
      <top/>
      <bottom/>
      <diagonal/>
    </border>
    <border>
      <left/>
      <right style="thin">
        <color rgb="FF2E75B6"/>
      </right>
      <top/>
      <bottom style="thin">
        <color rgb="FF2E75B6"/>
      </bottom>
      <diagonal/>
    </border>
    <border>
      <left/>
      <right/>
      <top style="thin">
        <color rgb="FF4A90C4"/>
      </top>
      <bottom/>
      <diagonal/>
    </border>
    <border>
      <left/>
      <right/>
      <top/>
      <bottom style="thin">
        <color rgb="FF4A90C4"/>
      </bottom>
      <diagonal/>
    </border>
    <border>
      <left style="thin">
        <color rgb="FF4A90C4"/>
      </left>
      <right/>
      <top style="thin">
        <color rgb="FF4A90C4"/>
      </top>
      <bottom/>
      <diagonal/>
    </border>
    <border>
      <left style="thin">
        <color rgb="FF4A90C4"/>
      </left>
      <right/>
      <top/>
      <bottom/>
      <diagonal/>
    </border>
    <border>
      <left style="thin">
        <color rgb="FF4A90C4"/>
      </left>
      <right/>
      <top/>
      <bottom style="thin">
        <color rgb="FF4A90C4"/>
      </bottom>
      <diagonal/>
    </border>
    <border>
      <left/>
      <right style="thin">
        <color rgb="FF4A90C4"/>
      </right>
      <top style="thin">
        <color rgb="FF4A90C4"/>
      </top>
      <bottom/>
      <diagonal/>
    </border>
    <border>
      <left/>
      <right style="thin">
        <color rgb="FF4A90C4"/>
      </right>
      <top/>
      <bottom/>
      <diagonal/>
    </border>
    <border>
      <left/>
      <right style="thin">
        <color rgb="FF4A90C4"/>
      </right>
      <top/>
      <bottom style="thin">
        <color rgb="FF4A90C4"/>
      </bottom>
      <diagonal/>
    </border>
    <border>
      <left/>
      <right/>
      <top style="thin">
        <color rgb="FF2F7D6E"/>
      </top>
      <bottom/>
      <diagonal/>
    </border>
    <border>
      <left/>
      <right/>
      <top/>
      <bottom style="thin">
        <color rgb="FF2F7D6E"/>
      </bottom>
      <diagonal/>
    </border>
    <border>
      <left style="thin">
        <color rgb="FF2F7D6E"/>
      </left>
      <right/>
      <top style="thin">
        <color rgb="FF2F7D6E"/>
      </top>
      <bottom/>
      <diagonal/>
    </border>
    <border>
      <left style="thin">
        <color rgb="FF2F7D6E"/>
      </left>
      <right/>
      <top/>
      <bottom/>
      <diagonal/>
    </border>
    <border>
      <left style="thin">
        <color rgb="FF2F7D6E"/>
      </left>
      <right/>
      <top/>
      <bottom style="thin">
        <color rgb="FF2F7D6E"/>
      </bottom>
      <diagonal/>
    </border>
    <border>
      <left/>
      <right style="thin">
        <color rgb="FF2F7D6E"/>
      </right>
      <top style="thin">
        <color rgb="FF2F7D6E"/>
      </top>
      <bottom/>
      <diagonal/>
    </border>
    <border>
      <left/>
      <right style="thin">
        <color rgb="FF2F7D6E"/>
      </right>
      <top/>
      <bottom/>
      <diagonal/>
    </border>
    <border>
      <left/>
      <right style="thin">
        <color rgb="FF2F7D6E"/>
      </right>
      <top/>
      <bottom style="thin">
        <color rgb="FF2F7D6E"/>
      </bottom>
      <diagonal/>
    </border>
    <border>
      <left/>
      <right/>
      <top style="thin">
        <color rgb="FF548235"/>
      </top>
      <bottom/>
      <diagonal/>
    </border>
    <border>
      <left/>
      <right/>
      <top/>
      <bottom style="thin">
        <color rgb="FF548235"/>
      </bottom>
      <diagonal/>
    </border>
    <border>
      <left style="thin">
        <color rgb="FF548235"/>
      </left>
      <right/>
      <top style="thin">
        <color rgb="FF548235"/>
      </top>
      <bottom/>
      <diagonal/>
    </border>
    <border>
      <left style="thin">
        <color rgb="FF548235"/>
      </left>
      <right/>
      <top/>
      <bottom/>
      <diagonal/>
    </border>
    <border>
      <left style="thin">
        <color rgb="FF548235"/>
      </left>
      <right/>
      <top/>
      <bottom style="thin">
        <color rgb="FF548235"/>
      </bottom>
      <diagonal/>
    </border>
    <border>
      <left/>
      <right style="thin">
        <color rgb="FF548235"/>
      </right>
      <top style="thin">
        <color rgb="FF548235"/>
      </top>
      <bottom/>
      <diagonal/>
    </border>
    <border>
      <left/>
      <right style="thin">
        <color rgb="FF548235"/>
      </right>
      <top/>
      <bottom/>
      <diagonal/>
    </border>
    <border>
      <left/>
      <right style="thin">
        <color rgb="FF548235"/>
      </right>
      <top/>
      <bottom style="thin">
        <color rgb="FF54823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/>
      <top/>
      <bottom style="medium">
        <color rgb="FF152C4E"/>
      </bottom>
      <diagonal/>
    </border>
    <border>
      <left/>
      <right/>
      <top/>
      <bottom style="medium">
        <color rgb="FF152C4E"/>
      </bottom>
      <diagonal/>
    </border>
    <border>
      <left/>
      <right/>
      <top/>
      <bottom style="medium">
        <color rgb="FF152C4E"/>
      </bottom>
      <diagonal/>
    </border>
    <border>
      <left/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/>
      <right/>
      <top/>
      <bottom style="hair">
        <color rgb="FFD6DEE8"/>
      </bottom>
      <diagonal/>
    </border>
    <border>
      <left/>
      <right/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/>
      <right/>
      <top/>
      <bottom style="thin">
        <color rgb="FF255E8E"/>
      </bottom>
      <diagonal/>
    </border>
    <border>
      <left/>
      <right/>
      <top/>
      <bottom style="thin">
        <color rgb="FF255E8E"/>
      </bottom>
      <diagonal/>
    </border>
    <border>
      <left/>
      <right/>
      <top/>
      <bottom style="thin">
        <color rgb="FF255E8E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/>
      <right/>
      <top/>
      <bottom style="thin">
        <color rgb="FF2E75B6"/>
      </bottom>
      <diagonal/>
    </border>
    <border>
      <left/>
      <right/>
      <top/>
      <bottom style="thin">
        <color rgb="FF2E75B6"/>
      </bottom>
      <diagonal/>
    </border>
    <border>
      <left/>
      <right/>
      <top/>
      <bottom style="thin">
        <color rgb="FF2E75B6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/>
      <right/>
      <top/>
      <bottom style="thin">
        <color rgb="FF4A90C4"/>
      </bottom>
      <diagonal/>
    </border>
    <border>
      <left/>
      <right/>
      <top/>
      <bottom style="thin">
        <color rgb="FF4A90C4"/>
      </bottom>
      <diagonal/>
    </border>
    <border>
      <left/>
      <right/>
      <top/>
      <bottom style="thin">
        <color rgb="FF4A90C4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/>
      <right/>
      <top/>
      <bottom style="thin">
        <color rgb="FF2F7D6E"/>
      </bottom>
      <diagonal/>
    </border>
    <border>
      <left/>
      <right/>
      <top/>
      <bottom style="thin">
        <color rgb="FF2F7D6E"/>
      </bottom>
      <diagonal/>
    </border>
    <border>
      <left/>
      <right/>
      <top/>
      <bottom style="thin">
        <color rgb="FF2F7D6E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/>
      <right/>
      <top/>
      <bottom style="thin">
        <color rgb="FF548235"/>
      </bottom>
      <diagonal/>
    </border>
    <border>
      <left/>
      <right/>
      <top/>
      <bottom style="thin">
        <color rgb="FF548235"/>
      </bottom>
      <diagonal/>
    </border>
    <border>
      <left/>
      <right/>
      <top/>
      <bottom style="thin">
        <color rgb="FF548235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  <border>
      <left style="hair">
        <color rgb="FFD6DEE8"/>
      </left>
      <right style="hair">
        <color rgb="FFD6DEE8"/>
      </right>
      <top/>
      <bottom style="hair">
        <color rgb="FFD6DEE8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69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5" fillId="0" borderId="0" xfId="0" applyFont="1"/>
    <xf numFmtId="0" fontId="6" fillId="0" borderId="0" xfId="1" applyFont="1" applyAlignment="1" applyProtection="1">
      <alignment horizontal="center" vertical="center"/>
      <protection locked="0"/>
    </xf>
    <xf numFmtId="0" fontId="6" fillId="4" borderId="0" xfId="1" applyFont="1" applyFill="1" applyAlignment="1" applyProtection="1">
      <alignment vertical="center" wrapText="1"/>
      <protection locked="0"/>
    </xf>
    <xf numFmtId="0" fontId="6" fillId="4" borderId="0" xfId="1" applyFont="1" applyFill="1" applyAlignment="1" applyProtection="1">
      <alignment horizontal="center" vertical="center"/>
      <protection locked="0"/>
    </xf>
    <xf numFmtId="0" fontId="6" fillId="4" borderId="0" xfId="1" applyFont="1" applyFill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 wrapText="1"/>
      <protection locked="0"/>
    </xf>
    <xf numFmtId="0" fontId="9" fillId="0" borderId="2" xfId="1" applyFont="1" applyBorder="1" applyAlignment="1" applyProtection="1">
      <alignment horizontal="center" vertical="center"/>
      <protection locked="0"/>
    </xf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164" fontId="10" fillId="0" borderId="2" xfId="1" applyNumberFormat="1" applyFont="1" applyBorder="1" applyAlignment="1" applyProtection="1">
      <alignment horizontal="center" vertical="center"/>
      <protection locked="0"/>
    </xf>
    <xf numFmtId="20" fontId="10" fillId="0" borderId="2" xfId="1" quotePrefix="1" applyNumberFormat="1" applyFont="1" applyBorder="1" applyAlignment="1" applyProtection="1">
      <alignment horizontal="center" vertical="center"/>
      <protection locked="0"/>
    </xf>
    <xf numFmtId="0" fontId="9" fillId="5" borderId="2" xfId="1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left"/>
    </xf>
    <xf numFmtId="164" fontId="10" fillId="5" borderId="2" xfId="1" applyNumberFormat="1" applyFont="1" applyFill="1" applyBorder="1" applyAlignment="1" applyProtection="1">
      <alignment horizontal="center" vertical="center"/>
      <protection locked="0"/>
    </xf>
    <xf numFmtId="20" fontId="10" fillId="5" borderId="2" xfId="1" quotePrefix="1" applyNumberFormat="1" applyFont="1" applyFill="1" applyBorder="1" applyAlignment="1" applyProtection="1">
      <alignment horizontal="center" vertical="center"/>
      <protection locked="0"/>
    </xf>
    <xf numFmtId="0" fontId="10" fillId="0" borderId="2" xfId="1" applyFont="1" applyBorder="1" applyAlignment="1" applyProtection="1">
      <alignment horizontal="left" vertical="center"/>
      <protection locked="0"/>
    </xf>
    <xf numFmtId="0" fontId="10" fillId="5" borderId="2" xfId="1" applyFont="1" applyFill="1" applyBorder="1" applyAlignment="1" applyProtection="1">
      <alignment horizontal="left" vertical="center"/>
      <protection locked="0"/>
    </xf>
    <xf numFmtId="0" fontId="11" fillId="5" borderId="2" xfId="0" applyFont="1" applyFill="1" applyBorder="1" applyAlignment="1">
      <alignment horizontal="justify"/>
    </xf>
    <xf numFmtId="0" fontId="10" fillId="0" borderId="2" xfId="1" applyFont="1" applyBorder="1" applyAlignment="1" applyProtection="1">
      <alignment horizontal="justify" vertical="center" wrapText="1"/>
      <protection locked="0"/>
    </xf>
    <xf numFmtId="0" fontId="10" fillId="0" borderId="2" xfId="0" applyFont="1" applyBorder="1" applyAlignment="1">
      <alignment wrapText="1"/>
    </xf>
    <xf numFmtId="0" fontId="9" fillId="0" borderId="0" xfId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vertical="center" wrapText="1"/>
      <protection locked="0"/>
    </xf>
    <xf numFmtId="0" fontId="9" fillId="0" borderId="0" xfId="1" applyFont="1" applyAlignment="1" applyProtection="1">
      <alignment vertical="center"/>
      <protection locked="0"/>
    </xf>
    <xf numFmtId="0" fontId="10" fillId="0" borderId="2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center" wrapText="1"/>
    </xf>
    <xf numFmtId="0" fontId="10" fillId="5" borderId="2" xfId="1" applyFont="1" applyFill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left" wrapText="1"/>
    </xf>
    <xf numFmtId="0" fontId="6" fillId="0" borderId="2" xfId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left" vertical="center" wrapText="1"/>
    </xf>
    <xf numFmtId="0" fontId="10" fillId="0" borderId="3" xfId="1" applyFont="1" applyBorder="1" applyAlignment="1" applyProtection="1">
      <alignment vertical="center"/>
      <protection locked="0"/>
    </xf>
    <xf numFmtId="0" fontId="7" fillId="6" borderId="0" xfId="1" applyFont="1" applyFill="1" applyAlignment="1" applyProtection="1">
      <alignment horizontal="center" vertical="center"/>
      <protection locked="0"/>
    </xf>
    <xf numFmtId="0" fontId="8" fillId="7" borderId="2" xfId="1" applyFont="1" applyFill="1" applyBorder="1" applyAlignment="1" applyProtection="1">
      <alignment horizontal="center" vertical="center"/>
      <protection locked="0"/>
    </xf>
    <xf numFmtId="0" fontId="8" fillId="7" borderId="2" xfId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164" fontId="11" fillId="0" borderId="2" xfId="1" applyNumberFormat="1" applyFont="1" applyBorder="1" applyAlignment="1" applyProtection="1">
      <alignment horizontal="center" vertical="center"/>
      <protection locked="0"/>
    </xf>
    <xf numFmtId="0" fontId="12" fillId="4" borderId="0" xfId="1" applyFont="1" applyFill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14" fontId="10" fillId="0" borderId="2" xfId="1" quotePrefix="1" applyNumberFormat="1" applyFont="1" applyBorder="1" applyAlignment="1" applyProtection="1">
      <alignment horizontal="center" vertical="center"/>
      <protection locked="0"/>
    </xf>
    <xf numFmtId="0" fontId="10" fillId="0" borderId="2" xfId="1" applyFont="1" applyBorder="1" applyAlignment="1" applyProtection="1">
      <alignment horizontal="center" vertical="center"/>
      <protection locked="0"/>
    </xf>
    <xf numFmtId="20" fontId="10" fillId="0" borderId="2" xfId="1" applyNumberFormat="1" applyFont="1" applyBorder="1" applyAlignment="1" applyProtection="1">
      <alignment horizontal="center" vertical="center"/>
      <protection locked="0"/>
    </xf>
    <xf numFmtId="14" fontId="10" fillId="0" borderId="2" xfId="1" applyNumberFormat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top" wrapText="1"/>
      <protection locked="0"/>
    </xf>
    <xf numFmtId="0" fontId="6" fillId="4" borderId="0" xfId="1" applyFont="1" applyFill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7" borderId="0" xfId="1" applyFont="1" applyFill="1" applyAlignment="1" applyProtection="1">
      <alignment horizontal="center" vertical="center"/>
      <protection locked="0"/>
    </xf>
    <xf numFmtId="0" fontId="10" fillId="5" borderId="2" xfId="0" applyFont="1" applyFill="1" applyBorder="1" applyAlignment="1">
      <alignment horizontal="center"/>
    </xf>
    <xf numFmtId="0" fontId="10" fillId="5" borderId="2" xfId="1" applyFont="1" applyFill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>
      <alignment horizontal="center"/>
    </xf>
    <xf numFmtId="0" fontId="9" fillId="0" borderId="3" xfId="1" applyFont="1" applyBorder="1" applyAlignment="1" applyProtection="1">
      <alignment horizontal="center" vertical="center"/>
      <protection locked="0"/>
    </xf>
    <xf numFmtId="0" fontId="9" fillId="0" borderId="4" xfId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20" fontId="10" fillId="0" borderId="5" xfId="1" quotePrefix="1" applyNumberFormat="1" applyFont="1" applyBorder="1" applyAlignment="1" applyProtection="1">
      <alignment horizontal="center" vertical="center"/>
      <protection locked="0"/>
    </xf>
    <xf numFmtId="0" fontId="10" fillId="0" borderId="2" xfId="2" applyFont="1" applyBorder="1" applyAlignment="1" applyProtection="1">
      <alignment horizontal="center" vertical="center"/>
      <protection locked="0"/>
    </xf>
    <xf numFmtId="0" fontId="0" fillId="8" borderId="0" xfId="0" applyFill="1"/>
    <xf numFmtId="0" fontId="0" fillId="7" borderId="0" xfId="0" applyFill="1"/>
    <xf numFmtId="0" fontId="16" fillId="8" borderId="0" xfId="0" applyFont="1" applyFill="1"/>
    <xf numFmtId="20" fontId="6" fillId="0" borderId="2" xfId="1" applyNumberFormat="1" applyFont="1" applyBorder="1" applyAlignment="1" applyProtection="1">
      <alignment horizontal="center" vertical="center"/>
      <protection locked="0"/>
    </xf>
    <xf numFmtId="0" fontId="15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8" fillId="0" borderId="0" xfId="0" applyFont="1" applyAlignment="1">
      <alignment vertical="center" readingOrder="1"/>
    </xf>
    <xf numFmtId="0" fontId="17" fillId="0" borderId="0" xfId="0" applyFont="1" applyAlignment="1">
      <alignment vertical="center" readingOrder="1"/>
    </xf>
    <xf numFmtId="0" fontId="19" fillId="9" borderId="0" xfId="0" applyFont="1" applyFill="1" applyAlignment="1">
      <alignment horizontal="center" vertical="center" readingOrder="1"/>
    </xf>
    <xf numFmtId="16" fontId="17" fillId="0" borderId="0" xfId="0" applyNumberFormat="1" applyFont="1" applyAlignment="1">
      <alignment horizontal="center" vertical="center" readingOrder="1"/>
    </xf>
    <xf numFmtId="14" fontId="0" fillId="0" borderId="0" xfId="0" applyNumberFormat="1" applyAlignment="1">
      <alignment horizontal="center"/>
    </xf>
    <xf numFmtId="14" fontId="0" fillId="5" borderId="0" xfId="0" applyNumberFormat="1" applyFill="1"/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6" fillId="0" borderId="0" xfId="1" applyFont="1" applyAlignment="1" applyProtection="1">
      <alignment horizontal="centerContinuous" vertical="center"/>
      <protection locked="0"/>
    </xf>
    <xf numFmtId="0" fontId="14" fillId="0" borderId="0" xfId="1" applyFont="1" applyAlignment="1" applyProtection="1">
      <alignment horizontal="centerContinuous" vertical="center"/>
      <protection locked="0"/>
    </xf>
    <xf numFmtId="0" fontId="10" fillId="0" borderId="2" xfId="1" quotePrefix="1" applyFont="1" applyBorder="1" applyAlignment="1" applyProtection="1">
      <alignment horizontal="center" vertical="center"/>
      <protection locked="0"/>
    </xf>
    <xf numFmtId="0" fontId="20" fillId="8" borderId="0" xfId="0" applyFont="1" applyFill="1"/>
    <xf numFmtId="0" fontId="0" fillId="8" borderId="0" xfId="0" applyFill="1" applyAlignment="1">
      <alignment horizontal="center"/>
    </xf>
    <xf numFmtId="0" fontId="0" fillId="0" borderId="0" xfId="0" pivotButton="1"/>
    <xf numFmtId="0" fontId="21" fillId="9" borderId="11" xfId="0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/>
    </xf>
    <xf numFmtId="0" fontId="21" fillId="9" borderId="13" xfId="0" applyFont="1" applyFill="1" applyBorder="1" applyAlignment="1">
      <alignment horizontal="center"/>
    </xf>
    <xf numFmtId="0" fontId="0" fillId="0" borderId="6" xfId="0" applyBorder="1"/>
    <xf numFmtId="0" fontId="2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3" fillId="0" borderId="0" xfId="1" applyFont="1" applyAlignment="1" applyProtection="1">
      <alignment horizontal="center" vertical="center"/>
      <protection locked="0"/>
    </xf>
    <xf numFmtId="0" fontId="24" fillId="1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0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6" borderId="11" xfId="1" applyFont="1" applyFill="1" applyBorder="1" applyAlignment="1" applyProtection="1">
      <alignment horizontal="centerContinuous" vertical="center"/>
      <protection locked="0"/>
    </xf>
    <xf numFmtId="0" fontId="7" fillId="6" borderId="12" xfId="1" applyFont="1" applyFill="1" applyBorder="1" applyAlignment="1" applyProtection="1">
      <alignment horizontal="centerContinuous" vertical="center"/>
      <protection locked="0"/>
    </xf>
    <xf numFmtId="0" fontId="7" fillId="6" borderId="13" xfId="1" applyFont="1" applyFill="1" applyBorder="1" applyAlignment="1" applyProtection="1">
      <alignment horizontal="centerContinuous" vertical="center"/>
      <protection locked="0"/>
    </xf>
    <xf numFmtId="0" fontId="7" fillId="6" borderId="14" xfId="1" applyFont="1" applyFill="1" applyBorder="1" applyAlignment="1" applyProtection="1">
      <alignment horizontal="centerContinuous" vertical="center"/>
      <protection locked="0"/>
    </xf>
    <xf numFmtId="20" fontId="10" fillId="0" borderId="5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11" borderId="0" xfId="0" applyFill="1"/>
    <xf numFmtId="0" fontId="25" fillId="11" borderId="0" xfId="0" applyFont="1" applyFill="1"/>
    <xf numFmtId="0" fontId="26" fillId="11" borderId="0" xfId="0" applyFont="1" applyFill="1"/>
    <xf numFmtId="0" fontId="27" fillId="11" borderId="0" xfId="0" applyFont="1" applyFill="1"/>
    <xf numFmtId="0" fontId="30" fillId="15" borderId="19" xfId="0" applyFont="1" applyFill="1" applyBorder="1" applyAlignment="1">
      <alignment horizontal="center" vertical="center"/>
    </xf>
    <xf numFmtId="165" fontId="30" fillId="15" borderId="20" xfId="0" applyNumberFormat="1" applyFont="1" applyFill="1" applyBorder="1" applyAlignment="1">
      <alignment horizontal="center" vertical="center"/>
    </xf>
    <xf numFmtId="0" fontId="32" fillId="16" borderId="18" xfId="0" applyFont="1" applyFill="1" applyBorder="1" applyAlignment="1">
      <alignment vertical="center"/>
    </xf>
    <xf numFmtId="0" fontId="33" fillId="16" borderId="19" xfId="0" applyFont="1" applyFill="1" applyBorder="1" applyAlignment="1">
      <alignment vertical="center"/>
    </xf>
    <xf numFmtId="0" fontId="31" fillId="16" borderId="19" xfId="0" applyFont="1" applyFill="1" applyBorder="1" applyAlignment="1">
      <alignment vertical="center"/>
    </xf>
    <xf numFmtId="0" fontId="34" fillId="16" borderId="19" xfId="0" applyFont="1" applyFill="1" applyBorder="1" applyAlignment="1">
      <alignment vertical="center" wrapText="1"/>
    </xf>
    <xf numFmtId="0" fontId="33" fillId="16" borderId="19" xfId="0" applyFont="1" applyFill="1" applyBorder="1" applyAlignment="1">
      <alignment horizontal="center" vertical="center"/>
    </xf>
    <xf numFmtId="165" fontId="31" fillId="16" borderId="20" xfId="0" applyNumberFormat="1" applyFont="1" applyFill="1" applyBorder="1" applyAlignment="1">
      <alignment horizontal="center" vertical="center"/>
    </xf>
    <xf numFmtId="0" fontId="28" fillId="17" borderId="18" xfId="0" applyFont="1" applyFill="1" applyBorder="1" applyAlignment="1">
      <alignment vertical="center"/>
    </xf>
    <xf numFmtId="0" fontId="33" fillId="17" borderId="19" xfId="0" applyFont="1" applyFill="1" applyBorder="1" applyAlignment="1">
      <alignment vertical="center"/>
    </xf>
    <xf numFmtId="0" fontId="31" fillId="17" borderId="19" xfId="0" applyFont="1" applyFill="1" applyBorder="1" applyAlignment="1">
      <alignment vertical="center"/>
    </xf>
    <xf numFmtId="0" fontId="34" fillId="17" borderId="19" xfId="0" applyFont="1" applyFill="1" applyBorder="1" applyAlignment="1">
      <alignment vertical="center" wrapText="1"/>
    </xf>
    <xf numFmtId="0" fontId="33" fillId="17" borderId="19" xfId="0" applyFont="1" applyFill="1" applyBorder="1" applyAlignment="1">
      <alignment horizontal="center" vertical="center"/>
    </xf>
    <xf numFmtId="165" fontId="31" fillId="17" borderId="20" xfId="0" applyNumberFormat="1" applyFont="1" applyFill="1" applyBorder="1" applyAlignment="1">
      <alignment horizontal="center" vertical="center"/>
    </xf>
    <xf numFmtId="0" fontId="35" fillId="16" borderId="18" xfId="0" applyFont="1" applyFill="1" applyBorder="1" applyAlignment="1">
      <alignment vertical="center"/>
    </xf>
    <xf numFmtId="0" fontId="30" fillId="18" borderId="19" xfId="0" applyFont="1" applyFill="1" applyBorder="1" applyAlignment="1">
      <alignment horizontal="center" vertical="center"/>
    </xf>
    <xf numFmtId="165" fontId="30" fillId="18" borderId="20" xfId="0" applyNumberFormat="1" applyFont="1" applyFill="1" applyBorder="1" applyAlignment="1">
      <alignment horizontal="center" vertical="center"/>
    </xf>
    <xf numFmtId="0" fontId="36" fillId="16" borderId="18" xfId="0" applyFont="1" applyFill="1" applyBorder="1" applyAlignment="1">
      <alignment vertical="center"/>
    </xf>
    <xf numFmtId="0" fontId="36" fillId="17" borderId="18" xfId="0" applyFont="1" applyFill="1" applyBorder="1" applyAlignment="1">
      <alignment vertical="center"/>
    </xf>
    <xf numFmtId="0" fontId="37" fillId="17" borderId="18" xfId="0" applyFont="1" applyFill="1" applyBorder="1" applyAlignment="1">
      <alignment vertical="center"/>
    </xf>
    <xf numFmtId="0" fontId="30" fillId="19" borderId="19" xfId="0" applyFont="1" applyFill="1" applyBorder="1" applyAlignment="1">
      <alignment horizontal="center" vertical="center"/>
    </xf>
    <xf numFmtId="165" fontId="30" fillId="19" borderId="20" xfId="0" applyNumberFormat="1" applyFont="1" applyFill="1" applyBorder="1" applyAlignment="1">
      <alignment horizontal="center" vertical="center"/>
    </xf>
    <xf numFmtId="0" fontId="38" fillId="16" borderId="18" xfId="0" applyFont="1" applyFill="1" applyBorder="1" applyAlignment="1">
      <alignment vertical="center"/>
    </xf>
    <xf numFmtId="0" fontId="30" fillId="20" borderId="19" xfId="0" applyFont="1" applyFill="1" applyBorder="1" applyAlignment="1">
      <alignment horizontal="center" vertical="center"/>
    </xf>
    <xf numFmtId="165" fontId="30" fillId="20" borderId="20" xfId="0" applyNumberFormat="1" applyFont="1" applyFill="1" applyBorder="1" applyAlignment="1">
      <alignment horizontal="center" vertical="center"/>
    </xf>
    <xf numFmtId="0" fontId="39" fillId="16" borderId="18" xfId="0" applyFont="1" applyFill="1" applyBorder="1" applyAlignment="1">
      <alignment vertical="center"/>
    </xf>
    <xf numFmtId="0" fontId="30" fillId="21" borderId="19" xfId="0" applyFont="1" applyFill="1" applyBorder="1" applyAlignment="1">
      <alignment horizontal="center" vertical="center"/>
    </xf>
    <xf numFmtId="165" fontId="30" fillId="21" borderId="20" xfId="0" applyNumberFormat="1" applyFont="1" applyFill="1" applyBorder="1" applyAlignment="1">
      <alignment horizontal="center" vertical="center"/>
    </xf>
    <xf numFmtId="0" fontId="40" fillId="16" borderId="18" xfId="0" applyFont="1" applyFill="1" applyBorder="1" applyAlignment="1">
      <alignment vertical="center"/>
    </xf>
    <xf numFmtId="0" fontId="30" fillId="22" borderId="19" xfId="0" applyFont="1" applyFill="1" applyBorder="1" applyAlignment="1">
      <alignment horizontal="center" vertical="center"/>
    </xf>
    <xf numFmtId="165" fontId="30" fillId="22" borderId="20" xfId="0" applyNumberFormat="1" applyFont="1" applyFill="1" applyBorder="1" applyAlignment="1">
      <alignment horizontal="center" vertical="center"/>
    </xf>
    <xf numFmtId="0" fontId="40" fillId="16" borderId="22" xfId="0" applyFont="1" applyFill="1" applyBorder="1" applyAlignment="1">
      <alignment vertical="center"/>
    </xf>
    <xf numFmtId="0" fontId="33" fillId="16" borderId="23" xfId="0" applyFont="1" applyFill="1" applyBorder="1" applyAlignment="1">
      <alignment vertical="center"/>
    </xf>
    <xf numFmtId="0" fontId="34" fillId="16" borderId="23" xfId="0" applyFont="1" applyFill="1" applyBorder="1" applyAlignment="1">
      <alignment vertical="center" wrapText="1"/>
    </xf>
    <xf numFmtId="0" fontId="33" fillId="16" borderId="23" xfId="0" applyFont="1" applyFill="1" applyBorder="1" applyAlignment="1">
      <alignment horizontal="center" vertical="center"/>
    </xf>
    <xf numFmtId="165" fontId="31" fillId="16" borderId="24" xfId="0" applyNumberFormat="1" applyFont="1" applyFill="1" applyBorder="1" applyAlignment="1">
      <alignment horizontal="center" vertical="center"/>
    </xf>
    <xf numFmtId="0" fontId="0" fillId="0" borderId="25" xfId="0" applyBorder="1"/>
    <xf numFmtId="0" fontId="29" fillId="23" borderId="15" xfId="0" applyFont="1" applyFill="1" applyBorder="1" applyAlignment="1">
      <alignment vertical="center"/>
    </xf>
    <xf numFmtId="0" fontId="29" fillId="23" borderId="16" xfId="0" applyFont="1" applyFill="1" applyBorder="1" applyAlignment="1">
      <alignment vertical="center"/>
    </xf>
    <xf numFmtId="0" fontId="29" fillId="23" borderId="16" xfId="0" applyFont="1" applyFill="1" applyBorder="1" applyAlignment="1">
      <alignment horizontal="center" vertical="center"/>
    </xf>
    <xf numFmtId="0" fontId="29" fillId="23" borderId="17" xfId="0" applyFont="1" applyFill="1" applyBorder="1" applyAlignment="1">
      <alignment horizontal="center" vertical="center"/>
    </xf>
    <xf numFmtId="0" fontId="65" fillId="0" borderId="0" xfId="0" applyFont="1"/>
    <xf numFmtId="0" fontId="9" fillId="0" borderId="74" xfId="1" applyFont="1" applyBorder="1" applyAlignment="1" applyProtection="1">
      <alignment horizontal="center" vertical="center"/>
      <protection locked="0"/>
    </xf>
    <xf numFmtId="0" fontId="10" fillId="0" borderId="74" xfId="0" applyFont="1" applyBorder="1" applyAlignment="1">
      <alignment horizontal="center"/>
    </xf>
    <xf numFmtId="0" fontId="10" fillId="0" borderId="75" xfId="1" applyFont="1" applyBorder="1" applyAlignment="1" applyProtection="1">
      <alignment horizontal="center" vertical="center"/>
      <protection locked="0"/>
    </xf>
    <xf numFmtId="0" fontId="10" fillId="0" borderId="74" xfId="1" applyFont="1" applyBorder="1" applyAlignment="1" applyProtection="1">
      <alignment horizontal="center" vertical="center" wrapText="1"/>
      <protection locked="0"/>
    </xf>
    <xf numFmtId="0" fontId="6" fillId="0" borderId="76" xfId="1" applyFont="1" applyBorder="1" applyAlignment="1" applyProtection="1">
      <alignment horizontal="center" vertical="center"/>
      <protection locked="0"/>
    </xf>
    <xf numFmtId="0" fontId="6" fillId="0" borderId="77" xfId="1" applyFont="1" applyBorder="1" applyAlignment="1" applyProtection="1">
      <alignment horizontal="center" vertical="center"/>
      <protection locked="0"/>
    </xf>
    <xf numFmtId="0" fontId="9" fillId="0" borderId="77" xfId="1" applyFont="1" applyBorder="1" applyAlignment="1" applyProtection="1">
      <alignment horizontal="center" vertical="center"/>
      <protection locked="0"/>
    </xf>
    <xf numFmtId="0" fontId="6" fillId="0" borderId="78" xfId="1" applyFont="1" applyBorder="1" applyAlignment="1" applyProtection="1">
      <alignment horizontal="center" vertical="center" wrapText="1"/>
      <protection locked="0"/>
    </xf>
    <xf numFmtId="0" fontId="6" fillId="0" borderId="80" xfId="1" applyFont="1" applyBorder="1" applyAlignment="1" applyProtection="1">
      <alignment horizontal="center" vertical="center"/>
      <protection locked="0"/>
    </xf>
    <xf numFmtId="0" fontId="6" fillId="0" borderId="81" xfId="1" applyFont="1" applyBorder="1" applyAlignment="1" applyProtection="1">
      <alignment horizontal="center" vertical="center"/>
      <protection locked="0"/>
    </xf>
    <xf numFmtId="0" fontId="6" fillId="0" borderId="80" xfId="1" applyFont="1" applyBorder="1" applyAlignment="1" applyProtection="1">
      <alignment horizontal="center" vertical="center" wrapText="1"/>
      <protection locked="0"/>
    </xf>
    <xf numFmtId="0" fontId="6" fillId="0" borderId="78" xfId="1" applyFont="1" applyBorder="1" applyAlignment="1" applyProtection="1">
      <alignment horizontal="center" vertical="center"/>
      <protection locked="0"/>
    </xf>
    <xf numFmtId="0" fontId="6" fillId="0" borderId="83" xfId="1" applyFont="1" applyBorder="1" applyAlignment="1" applyProtection="1">
      <alignment horizontal="center" vertical="center"/>
      <protection locked="0"/>
    </xf>
    <xf numFmtId="0" fontId="9" fillId="0" borderId="84" xfId="1" applyFont="1" applyBorder="1" applyAlignment="1" applyProtection="1">
      <alignment horizontal="center" vertical="center"/>
      <protection locked="0"/>
    </xf>
    <xf numFmtId="0" fontId="6" fillId="0" borderId="85" xfId="1" applyFont="1" applyBorder="1" applyAlignment="1" applyProtection="1">
      <alignment horizontal="center" vertical="center"/>
      <protection locked="0"/>
    </xf>
    <xf numFmtId="0" fontId="6" fillId="0" borderId="86" xfId="1" applyFont="1" applyBorder="1" applyAlignment="1" applyProtection="1">
      <alignment horizontal="center" vertical="center"/>
      <protection locked="0"/>
    </xf>
    <xf numFmtId="0" fontId="9" fillId="0" borderId="87" xfId="1" applyFont="1" applyBorder="1" applyAlignment="1" applyProtection="1">
      <alignment horizontal="center" vertical="center"/>
      <protection locked="0"/>
    </xf>
    <xf numFmtId="0" fontId="6" fillId="0" borderId="79" xfId="1" applyFont="1" applyBorder="1" applyAlignment="1" applyProtection="1">
      <alignment horizontal="center" vertical="center"/>
      <protection locked="0"/>
    </xf>
    <xf numFmtId="0" fontId="6" fillId="0" borderId="89" xfId="1" applyFont="1" applyBorder="1" applyAlignment="1" applyProtection="1">
      <alignment horizontal="center" vertical="center"/>
      <protection locked="0"/>
    </xf>
    <xf numFmtId="0" fontId="6" fillId="0" borderId="87" xfId="1" applyFont="1" applyBorder="1" applyAlignment="1" applyProtection="1">
      <alignment horizontal="center" vertical="center" wrapText="1"/>
      <protection locked="0"/>
    </xf>
    <xf numFmtId="0" fontId="6" fillId="0" borderId="88" xfId="1" applyFont="1" applyBorder="1" applyAlignment="1" applyProtection="1">
      <alignment horizontal="center" vertical="center"/>
      <protection locked="0"/>
    </xf>
    <xf numFmtId="0" fontId="6" fillId="0" borderId="82" xfId="1" applyFont="1" applyBorder="1" applyAlignment="1" applyProtection="1">
      <alignment horizontal="center" vertical="center" wrapText="1"/>
      <protection locked="0"/>
    </xf>
    <xf numFmtId="164" fontId="11" fillId="0" borderId="4" xfId="1" applyNumberFormat="1" applyFont="1" applyBorder="1" applyAlignment="1" applyProtection="1">
      <alignment horizontal="center" vertical="center"/>
      <protection locked="0"/>
    </xf>
    <xf numFmtId="20" fontId="10" fillId="0" borderId="74" xfId="1" quotePrefix="1" applyNumberFormat="1" applyFont="1" applyBorder="1" applyAlignment="1" applyProtection="1">
      <alignment horizontal="center" vertical="center"/>
      <protection locked="0"/>
    </xf>
    <xf numFmtId="20" fontId="6" fillId="0" borderId="76" xfId="1" applyNumberFormat="1" applyFont="1" applyBorder="1" applyAlignment="1" applyProtection="1">
      <alignment horizontal="center" vertical="center"/>
      <protection locked="0"/>
    </xf>
    <xf numFmtId="20" fontId="6" fillId="0" borderId="78" xfId="1" applyNumberFormat="1" applyFont="1" applyBorder="1" applyAlignment="1" applyProtection="1">
      <alignment horizontal="center" vertical="center"/>
      <protection locked="0"/>
    </xf>
    <xf numFmtId="20" fontId="6" fillId="0" borderId="83" xfId="1" applyNumberFormat="1" applyFont="1" applyBorder="1" applyAlignment="1" applyProtection="1">
      <alignment horizontal="center" vertical="center"/>
      <protection locked="0"/>
    </xf>
    <xf numFmtId="14" fontId="6" fillId="0" borderId="80" xfId="1" applyNumberFormat="1" applyFont="1" applyBorder="1" applyAlignment="1" applyProtection="1">
      <alignment horizontal="center" vertical="center"/>
      <protection locked="0"/>
    </xf>
    <xf numFmtId="14" fontId="6" fillId="0" borderId="77" xfId="1" applyNumberFormat="1" applyFont="1" applyBorder="1" applyAlignment="1" applyProtection="1">
      <alignment horizontal="center" vertical="center"/>
      <protection locked="0"/>
    </xf>
    <xf numFmtId="14" fontId="6" fillId="0" borderId="89" xfId="1" applyNumberFormat="1" applyFont="1" applyBorder="1" applyAlignment="1" applyProtection="1">
      <alignment horizontal="center" vertical="center"/>
      <protection locked="0"/>
    </xf>
    <xf numFmtId="0" fontId="10" fillId="0" borderId="74" xfId="1" quotePrefix="1" applyFont="1" applyBorder="1" applyAlignment="1" applyProtection="1">
      <alignment horizontal="center" vertical="center"/>
      <protection locked="0"/>
    </xf>
    <xf numFmtId="0" fontId="31" fillId="16" borderId="23" xfId="0" applyFont="1" applyFill="1" applyBorder="1" applyAlignment="1">
      <alignment vertical="center"/>
    </xf>
    <xf numFmtId="0" fontId="45" fillId="12" borderId="0" xfId="0" applyFont="1" applyFill="1" applyAlignment="1">
      <alignment horizontal="center" vertical="center"/>
    </xf>
    <xf numFmtId="0" fontId="0" fillId="0" borderId="0" xfId="0"/>
    <xf numFmtId="0" fontId="46" fillId="13" borderId="0" xfId="0" applyFont="1" applyFill="1" applyAlignment="1">
      <alignment horizontal="center" vertical="center"/>
    </xf>
    <xf numFmtId="0" fontId="47" fillId="14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8" fillId="15" borderId="28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1" xfId="0" applyBorder="1"/>
    <xf numFmtId="16" fontId="56" fillId="0" borderId="29" xfId="0" applyNumberFormat="1" applyFont="1" applyBorder="1" applyAlignment="1">
      <alignment horizontal="center" vertical="center"/>
    </xf>
    <xf numFmtId="0" fontId="57" fillId="0" borderId="0" xfId="0" applyFont="1"/>
    <xf numFmtId="0" fontId="57" fillId="0" borderId="32" xfId="0" applyFont="1" applyBorder="1"/>
    <xf numFmtId="0" fontId="68" fillId="24" borderId="29" xfId="0" applyFont="1" applyFill="1" applyBorder="1" applyAlignment="1">
      <alignment horizontal="center" vertical="center"/>
    </xf>
    <xf numFmtId="0" fontId="1" fillId="0" borderId="0" xfId="0" applyFont="1"/>
    <xf numFmtId="0" fontId="1" fillId="0" borderId="32" xfId="0" applyFont="1" applyBorder="1"/>
    <xf numFmtId="0" fontId="55" fillId="0" borderId="29" xfId="0" applyFont="1" applyBorder="1" applyAlignment="1">
      <alignment horizontal="left" vertical="center" indent="1"/>
    </xf>
    <xf numFmtId="0" fontId="55" fillId="0" borderId="0" xfId="0" applyFont="1" applyAlignment="1">
      <alignment horizontal="left" vertical="center" indent="1"/>
    </xf>
    <xf numFmtId="0" fontId="55" fillId="0" borderId="32" xfId="0" applyFont="1" applyBorder="1" applyAlignment="1">
      <alignment horizontal="left" vertical="center" indent="1"/>
    </xf>
    <xf numFmtId="0" fontId="63" fillId="0" borderId="29" xfId="0" applyFont="1" applyBorder="1" applyAlignment="1">
      <alignment horizontal="left" vertical="top" indent="1"/>
    </xf>
    <xf numFmtId="0" fontId="63" fillId="0" borderId="0" xfId="0" applyFont="1" applyAlignment="1">
      <alignment horizontal="left" vertical="top" indent="1"/>
    </xf>
    <xf numFmtId="0" fontId="63" fillId="0" borderId="32" xfId="0" applyFont="1" applyBorder="1" applyAlignment="1">
      <alignment horizontal="left" vertical="top" indent="1"/>
    </xf>
    <xf numFmtId="0" fontId="49" fillId="24" borderId="30" xfId="0" applyFont="1" applyFill="1" applyBorder="1" applyAlignment="1">
      <alignment horizontal="center" vertical="center"/>
    </xf>
    <xf numFmtId="0" fontId="0" fillId="0" borderId="27" xfId="0" applyBorder="1"/>
    <xf numFmtId="0" fontId="0" fillId="0" borderId="33" xfId="0" applyBorder="1"/>
    <xf numFmtId="0" fontId="48" fillId="20" borderId="52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5" xfId="0" applyBorder="1"/>
    <xf numFmtId="0" fontId="62" fillId="0" borderId="53" xfId="0" applyFont="1" applyBorder="1" applyAlignment="1">
      <alignment horizontal="center" vertical="center"/>
    </xf>
    <xf numFmtId="0" fontId="57" fillId="0" borderId="56" xfId="0" applyFont="1" applyBorder="1"/>
    <xf numFmtId="0" fontId="68" fillId="24" borderId="53" xfId="0" applyFont="1" applyFill="1" applyBorder="1" applyAlignment="1">
      <alignment horizontal="center" vertical="center"/>
    </xf>
    <xf numFmtId="0" fontId="1" fillId="0" borderId="56" xfId="0" applyFont="1" applyBorder="1"/>
    <xf numFmtId="0" fontId="55" fillId="0" borderId="53" xfId="0" applyFont="1" applyBorder="1" applyAlignment="1">
      <alignment horizontal="left" vertical="center" indent="1"/>
    </xf>
    <xf numFmtId="0" fontId="55" fillId="0" borderId="56" xfId="0" applyFont="1" applyBorder="1" applyAlignment="1">
      <alignment horizontal="left" vertical="center" indent="1"/>
    </xf>
    <xf numFmtId="0" fontId="63" fillId="0" borderId="53" xfId="0" applyFont="1" applyBorder="1" applyAlignment="1">
      <alignment horizontal="left" vertical="top" indent="1"/>
    </xf>
    <xf numFmtId="0" fontId="0" fillId="0" borderId="53" xfId="0" applyBorder="1"/>
    <xf numFmtId="0" fontId="0" fillId="0" borderId="56" xfId="0" applyBorder="1"/>
    <xf numFmtId="0" fontId="41" fillId="0" borderId="53" xfId="0" applyFont="1" applyBorder="1" applyAlignment="1">
      <alignment horizontal="left" vertical="top" indent="1"/>
    </xf>
    <xf numFmtId="0" fontId="52" fillId="24" borderId="54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7" xfId="0" applyBorder="1"/>
    <xf numFmtId="0" fontId="48" fillId="19" borderId="44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7" xfId="0" applyBorder="1"/>
    <xf numFmtId="0" fontId="59" fillId="0" borderId="45" xfId="0" applyFont="1" applyBorder="1" applyAlignment="1">
      <alignment horizontal="center" vertical="center"/>
    </xf>
    <xf numFmtId="0" fontId="57" fillId="0" borderId="48" xfId="0" applyFont="1" applyBorder="1"/>
    <xf numFmtId="0" fontId="68" fillId="24" borderId="45" xfId="0" applyFont="1" applyFill="1" applyBorder="1" applyAlignment="1">
      <alignment horizontal="center" vertical="center"/>
    </xf>
    <xf numFmtId="0" fontId="1" fillId="0" borderId="48" xfId="0" applyFont="1" applyBorder="1"/>
    <xf numFmtId="0" fontId="55" fillId="0" borderId="45" xfId="0" applyFont="1" applyBorder="1" applyAlignment="1">
      <alignment horizontal="left" vertical="center" indent="1"/>
    </xf>
    <xf numFmtId="0" fontId="55" fillId="0" borderId="48" xfId="0" applyFont="1" applyBorder="1" applyAlignment="1">
      <alignment horizontal="left" vertical="center" indent="1"/>
    </xf>
    <xf numFmtId="0" fontId="63" fillId="0" borderId="45" xfId="0" applyFont="1" applyBorder="1" applyAlignment="1">
      <alignment horizontal="left" vertical="top" indent="1"/>
    </xf>
    <xf numFmtId="0" fontId="0" fillId="0" borderId="45" xfId="0" applyBorder="1"/>
    <xf numFmtId="0" fontId="0" fillId="0" borderId="48" xfId="0" applyBorder="1"/>
    <xf numFmtId="0" fontId="41" fillId="0" borderId="45" xfId="0" applyFont="1" applyBorder="1" applyAlignment="1">
      <alignment horizontal="left" vertical="top" indent="1"/>
    </xf>
    <xf numFmtId="0" fontId="51" fillId="24" borderId="46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9" xfId="0" applyBorder="1"/>
    <xf numFmtId="0" fontId="48" fillId="21" borderId="60" xfId="0" applyFont="1" applyFill="1" applyBorder="1" applyAlignment="1">
      <alignment horizontal="center" vertical="center"/>
    </xf>
    <xf numFmtId="0" fontId="0" fillId="0" borderId="58" xfId="0" applyBorder="1"/>
    <xf numFmtId="0" fontId="0" fillId="0" borderId="63" xfId="0" applyBorder="1"/>
    <xf numFmtId="0" fontId="61" fillId="0" borderId="61" xfId="0" applyFont="1" applyBorder="1" applyAlignment="1">
      <alignment horizontal="center" vertical="center"/>
    </xf>
    <xf numFmtId="0" fontId="57" fillId="0" borderId="64" xfId="0" applyFont="1" applyBorder="1"/>
    <xf numFmtId="0" fontId="68" fillId="24" borderId="61" xfId="0" applyFont="1" applyFill="1" applyBorder="1" applyAlignment="1">
      <alignment horizontal="center" vertical="center"/>
    </xf>
    <xf numFmtId="0" fontId="1" fillId="0" borderId="64" xfId="0" applyFont="1" applyBorder="1"/>
    <xf numFmtId="0" fontId="55" fillId="0" borderId="61" xfId="0" applyFont="1" applyBorder="1" applyAlignment="1">
      <alignment horizontal="left" vertical="center" indent="1"/>
    </xf>
    <xf numFmtId="0" fontId="55" fillId="0" borderId="64" xfId="0" applyFont="1" applyBorder="1" applyAlignment="1">
      <alignment horizontal="left" vertical="center" indent="1"/>
    </xf>
    <xf numFmtId="0" fontId="63" fillId="0" borderId="61" xfId="0" applyFont="1" applyBorder="1" applyAlignment="1">
      <alignment horizontal="left" vertical="top" indent="1"/>
    </xf>
    <xf numFmtId="0" fontId="0" fillId="0" borderId="61" xfId="0" applyBorder="1"/>
    <xf numFmtId="0" fontId="0" fillId="0" borderId="64" xfId="0" applyBorder="1"/>
    <xf numFmtId="0" fontId="41" fillId="0" borderId="61" xfId="0" applyFont="1" applyBorder="1" applyAlignment="1">
      <alignment horizontal="left" vertical="top" indent="1"/>
    </xf>
    <xf numFmtId="0" fontId="53" fillId="24" borderId="62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5" xfId="0" applyBorder="1"/>
    <xf numFmtId="0" fontId="48" fillId="18" borderId="36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9" xfId="0" applyBorder="1"/>
    <xf numFmtId="0" fontId="58" fillId="0" borderId="37" xfId="0" applyFont="1" applyBorder="1" applyAlignment="1">
      <alignment horizontal="center" vertical="center"/>
    </xf>
    <xf numFmtId="0" fontId="57" fillId="0" borderId="40" xfId="0" applyFont="1" applyBorder="1"/>
    <xf numFmtId="0" fontId="68" fillId="24" borderId="37" xfId="0" applyFont="1" applyFill="1" applyBorder="1" applyAlignment="1">
      <alignment horizontal="center" vertical="center"/>
    </xf>
    <xf numFmtId="0" fontId="1" fillId="0" borderId="40" xfId="0" applyFont="1" applyBorder="1"/>
    <xf numFmtId="0" fontId="55" fillId="0" borderId="37" xfId="0" applyFont="1" applyBorder="1" applyAlignment="1">
      <alignment horizontal="left" vertical="center" indent="1"/>
    </xf>
    <xf numFmtId="0" fontId="55" fillId="0" borderId="40" xfId="0" applyFont="1" applyBorder="1" applyAlignment="1">
      <alignment horizontal="left" vertical="center" indent="1"/>
    </xf>
    <xf numFmtId="0" fontId="63" fillId="0" borderId="37" xfId="0" applyFont="1" applyBorder="1" applyAlignment="1">
      <alignment horizontal="left" vertical="top" indent="1"/>
    </xf>
    <xf numFmtId="0" fontId="50" fillId="24" borderId="3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41" xfId="0" applyBorder="1"/>
    <xf numFmtId="0" fontId="48" fillId="22" borderId="68" xfId="0" applyFont="1" applyFill="1" applyBorder="1" applyAlignment="1">
      <alignment horizontal="center" vertical="center"/>
    </xf>
    <xf numFmtId="0" fontId="0" fillId="0" borderId="66" xfId="0" applyBorder="1"/>
    <xf numFmtId="0" fontId="0" fillId="0" borderId="71" xfId="0" applyBorder="1"/>
    <xf numFmtId="0" fontId="60" fillId="0" borderId="69" xfId="0" applyFont="1" applyBorder="1" applyAlignment="1">
      <alignment horizontal="center" vertical="center"/>
    </xf>
    <xf numFmtId="0" fontId="57" fillId="0" borderId="72" xfId="0" applyFont="1" applyBorder="1"/>
    <xf numFmtId="0" fontId="68" fillId="24" borderId="69" xfId="0" applyFont="1" applyFill="1" applyBorder="1" applyAlignment="1">
      <alignment horizontal="center" vertical="center"/>
    </xf>
    <xf numFmtId="0" fontId="1" fillId="0" borderId="72" xfId="0" applyFont="1" applyBorder="1"/>
    <xf numFmtId="0" fontId="55" fillId="0" borderId="69" xfId="0" applyFont="1" applyBorder="1" applyAlignment="1">
      <alignment horizontal="left" vertical="center" indent="1"/>
    </xf>
    <xf numFmtId="0" fontId="55" fillId="0" borderId="72" xfId="0" applyFont="1" applyBorder="1" applyAlignment="1">
      <alignment horizontal="left" vertical="center" indent="1"/>
    </xf>
    <xf numFmtId="0" fontId="63" fillId="0" borderId="69" xfId="0" applyFont="1" applyBorder="1" applyAlignment="1">
      <alignment horizontal="left" vertical="top" indent="1"/>
    </xf>
    <xf numFmtId="0" fontId="0" fillId="0" borderId="69" xfId="0" applyBorder="1"/>
    <xf numFmtId="0" fontId="0" fillId="0" borderId="72" xfId="0" applyBorder="1"/>
    <xf numFmtId="0" fontId="41" fillId="0" borderId="69" xfId="0" applyFont="1" applyBorder="1" applyAlignment="1">
      <alignment horizontal="left" vertical="top" indent="1"/>
    </xf>
    <xf numFmtId="0" fontId="40" fillId="24" borderId="70" xfId="0" applyFont="1" applyFill="1" applyBorder="1" applyAlignment="1">
      <alignment horizontal="center" vertical="center"/>
    </xf>
    <xf numFmtId="0" fontId="0" fillId="0" borderId="67" xfId="0" applyBorder="1"/>
    <xf numFmtId="0" fontId="0" fillId="0" borderId="73" xfId="0" applyBorder="1"/>
    <xf numFmtId="0" fontId="7" fillId="6" borderId="0" xfId="1" applyFont="1" applyFill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15" fillId="7" borderId="0" xfId="0" applyFont="1" applyFill="1" applyAlignment="1">
      <alignment horizontal="center"/>
    </xf>
    <xf numFmtId="0" fontId="11" fillId="0" borderId="0" xfId="1" applyFont="1" applyAlignment="1" applyProtection="1">
      <alignment horizontal="center" vertical="center"/>
      <protection locked="0"/>
    </xf>
    <xf numFmtId="0" fontId="43" fillId="12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44" fillId="15" borderId="18" xfId="0" applyFont="1" applyFill="1" applyBorder="1" applyAlignment="1">
      <alignment vertical="center"/>
    </xf>
    <xf numFmtId="0" fontId="44" fillId="15" borderId="19" xfId="0" applyFont="1" applyFill="1" applyBorder="1" applyAlignment="1">
      <alignment vertical="center"/>
    </xf>
    <xf numFmtId="0" fontId="44" fillId="19" borderId="18" xfId="0" applyFont="1" applyFill="1" applyBorder="1" applyAlignment="1">
      <alignment vertical="center"/>
    </xf>
    <xf numFmtId="0" fontId="44" fillId="19" borderId="19" xfId="0" applyFont="1" applyFill="1" applyBorder="1" applyAlignment="1">
      <alignment vertical="center"/>
    </xf>
    <xf numFmtId="0" fontId="44" fillId="18" borderId="18" xfId="0" applyFont="1" applyFill="1" applyBorder="1" applyAlignment="1">
      <alignment vertical="center"/>
    </xf>
    <xf numFmtId="0" fontId="44" fillId="18" borderId="19" xfId="0" applyFont="1" applyFill="1" applyBorder="1" applyAlignment="1">
      <alignment vertical="center"/>
    </xf>
    <xf numFmtId="0" fontId="44" fillId="20" borderId="18" xfId="0" applyFont="1" applyFill="1" applyBorder="1" applyAlignment="1">
      <alignment vertical="center"/>
    </xf>
    <xf numFmtId="0" fontId="44" fillId="20" borderId="19" xfId="0" applyFont="1" applyFill="1" applyBorder="1" applyAlignment="1">
      <alignment vertical="center"/>
    </xf>
    <xf numFmtId="0" fontId="44" fillId="21" borderId="18" xfId="0" applyFont="1" applyFill="1" applyBorder="1" applyAlignment="1">
      <alignment vertical="center"/>
    </xf>
    <xf numFmtId="0" fontId="44" fillId="21" borderId="19" xfId="0" applyFont="1" applyFill="1" applyBorder="1" applyAlignment="1">
      <alignment vertical="center"/>
    </xf>
    <xf numFmtId="0" fontId="44" fillId="22" borderId="18" xfId="0" applyFont="1" applyFill="1" applyBorder="1" applyAlignment="1">
      <alignment vertical="center"/>
    </xf>
    <xf numFmtId="0" fontId="44" fillId="22" borderId="19" xfId="0" applyFont="1" applyFill="1" applyBorder="1" applyAlignment="1">
      <alignment vertical="center"/>
    </xf>
    <xf numFmtId="0" fontId="66" fillId="0" borderId="0" xfId="0" applyFont="1"/>
    <xf numFmtId="0" fontId="65" fillId="0" borderId="0" xfId="0" applyFont="1"/>
    <xf numFmtId="0" fontId="67" fillId="0" borderId="0" xfId="0" applyFont="1" applyAlignment="1">
      <alignment vertical="center" wrapText="1"/>
    </xf>
    <xf numFmtId="0" fontId="64" fillId="0" borderId="0" xfId="0" applyFont="1" applyAlignment="1">
      <alignment vertical="center"/>
    </xf>
    <xf numFmtId="0" fontId="0" fillId="0" borderId="21" xfId="0" applyBorder="1"/>
    <xf numFmtId="0" fontId="65" fillId="0" borderId="0" xfId="0" applyFont="1" applyAlignment="1">
      <alignment vertical="center" wrapText="1"/>
    </xf>
    <xf numFmtId="0" fontId="1" fillId="0" borderId="45" xfId="0" applyFont="1" applyBorder="1"/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0" fontId="69" fillId="0" borderId="0" xfId="0" applyFont="1" applyFill="1" applyBorder="1" applyAlignment="1">
      <alignment horizontal="left" vertical="center"/>
    </xf>
    <xf numFmtId="0" fontId="70" fillId="0" borderId="0" xfId="0" applyFont="1" applyFill="1" applyBorder="1" applyAlignment="1">
      <alignment horizontal="left" vertical="center"/>
    </xf>
    <xf numFmtId="0" fontId="71" fillId="25" borderId="0" xfId="0" applyFont="1" applyFill="1" applyBorder="1" applyAlignment="1">
      <alignment horizontal="center" vertical="center"/>
    </xf>
    <xf numFmtId="0" fontId="72" fillId="26" borderId="0" xfId="0" applyFont="1" applyFill="1" applyBorder="1" applyAlignment="1">
      <alignment horizontal="left" vertical="center" indent="1"/>
    </xf>
    <xf numFmtId="0" fontId="73" fillId="27" borderId="0" xfId="0" applyFont="1" applyFill="1" applyBorder="1" applyAlignment="1">
      <alignment horizontal="left" vertical="center"/>
    </xf>
    <xf numFmtId="0" fontId="74" fillId="28" borderId="0" xfId="0" applyFont="1" applyFill="1" applyBorder="1" applyAlignment="1">
      <alignment horizontal="left" vertical="center" indent="1"/>
    </xf>
    <xf numFmtId="0" fontId="75" fillId="29" borderId="0" xfId="0" applyFont="1" applyFill="1" applyBorder="1" applyAlignment="1">
      <alignment horizontal="left" vertical="center"/>
    </xf>
    <xf numFmtId="0" fontId="76" fillId="30" borderId="90" xfId="0" applyFont="1" applyFill="1" applyBorder="1" applyAlignment="1">
      <alignment horizontal="left" vertical="center" indent="1"/>
    </xf>
    <xf numFmtId="0" fontId="77" fillId="31" borderId="91" xfId="0" applyFont="1" applyFill="1" applyBorder="1" applyAlignment="1">
      <alignment horizontal="left" vertical="center"/>
    </xf>
    <xf numFmtId="190" fontId="78" fillId="32" borderId="0" xfId="0" applyNumberFormat="1" applyFont="1" applyFill="1" applyBorder="1" applyAlignment="1">
      <alignment horizontal="center" vertical="center"/>
    </xf>
    <xf numFmtId="0" fontId="79" fillId="33" borderId="92" xfId="0" applyFont="1" applyFill="1" applyBorder="1" applyAlignment="1">
      <alignment horizontal="center" vertical="center"/>
    </xf>
    <xf numFmtId="0" fontId="80" fillId="0" borderId="93" xfId="0" applyFont="1" applyFill="1" applyBorder="1" applyAlignment="1">
      <alignment horizontal="left" vertical="center"/>
    </xf>
    <xf numFmtId="0" fontId="81" fillId="0" borderId="94" xfId="0" applyFont="1" applyFill="1" applyBorder="1" applyAlignment="1">
      <alignment horizontal="left" vertical="center"/>
    </xf>
    <xf numFmtId="0" fontId="82" fillId="0" borderId="95" xfId="0" applyFont="1" applyFill="1" applyBorder="1" applyAlignment="1">
      <alignment horizontal="left" vertical="center"/>
    </xf>
    <xf numFmtId="0" fontId="83" fillId="0" borderId="96" xfId="0" applyFont="1" applyFill="1" applyBorder="1" applyAlignment="1">
      <alignment horizontal="left" vertical="center" indent="1"/>
    </xf>
    <xf numFmtId="0" fontId="84" fillId="0" borderId="97" xfId="0" applyFont="1" applyFill="1" applyBorder="1" applyAlignment="1">
      <alignment horizontal="left" vertical="center"/>
    </xf>
    <xf numFmtId="0" fontId="85" fillId="34" borderId="98" xfId="0" applyFont="1" applyFill="1" applyBorder="1" applyAlignment="1">
      <alignment horizontal="center" vertical="center"/>
    </xf>
    <xf numFmtId="0" fontId="86" fillId="0" borderId="99" xfId="0" applyFont="1" applyFill="1" applyBorder="1" applyAlignment="1">
      <alignment horizontal="left" vertical="center"/>
    </xf>
    <xf numFmtId="0" fontId="87" fillId="0" borderId="100" xfId="0" applyFont="1" applyFill="1" applyBorder="1" applyAlignment="1">
      <alignment horizontal="left" vertical="center"/>
    </xf>
    <xf numFmtId="0" fontId="88" fillId="0" borderId="101" xfId="0" applyFont="1" applyFill="1" applyBorder="1" applyAlignment="1">
      <alignment horizontal="left" vertical="center"/>
    </xf>
    <xf numFmtId="0" fontId="89" fillId="0" borderId="102" xfId="0" applyFont="1" applyFill="1" applyBorder="1" applyAlignment="1">
      <alignment horizontal="left" vertical="center"/>
    </xf>
    <xf numFmtId="0" fontId="90" fillId="35" borderId="103" xfId="0" applyFont="1" applyFill="1" applyBorder="1" applyAlignment="1">
      <alignment horizontal="center" vertical="center"/>
    </xf>
    <xf numFmtId="0" fontId="91" fillId="36" borderId="104" xfId="0" applyFont="1" applyFill="1" applyBorder="1" applyAlignment="1">
      <alignment horizontal="center" vertical="center"/>
    </xf>
    <xf numFmtId="0" fontId="92" fillId="0" borderId="105" xfId="0" applyFont="1" applyFill="1" applyBorder="1" applyAlignment="1">
      <alignment horizontal="left" vertical="center"/>
    </xf>
    <xf numFmtId="0" fontId="93" fillId="0" borderId="106" xfId="0" applyFont="1" applyFill="1" applyBorder="1" applyAlignment="1">
      <alignment horizontal="left" vertical="center"/>
    </xf>
    <xf numFmtId="0" fontId="94" fillId="0" borderId="107" xfId="0" applyFont="1" applyFill="1" applyBorder="1" applyAlignment="1">
      <alignment horizontal="left" vertical="center"/>
    </xf>
    <xf numFmtId="0" fontId="95" fillId="37" borderId="108" xfId="0" applyFont="1" applyFill="1" applyBorder="1" applyAlignment="1">
      <alignment horizontal="center" vertical="center"/>
    </xf>
    <xf numFmtId="0" fontId="96" fillId="0" borderId="109" xfId="0" applyFont="1" applyFill="1" applyBorder="1" applyAlignment="1">
      <alignment horizontal="left" vertical="center"/>
    </xf>
    <xf numFmtId="0" fontId="97" fillId="0" borderId="110" xfId="0" applyFont="1" applyFill="1" applyBorder="1" applyAlignment="1">
      <alignment horizontal="left" vertical="center"/>
    </xf>
    <xf numFmtId="0" fontId="98" fillId="0" borderId="111" xfId="0" applyFont="1" applyFill="1" applyBorder="1" applyAlignment="1">
      <alignment horizontal="left" vertical="center"/>
    </xf>
    <xf numFmtId="0" fontId="99" fillId="38" borderId="112" xfId="0" applyFont="1" applyFill="1" applyBorder="1" applyAlignment="1">
      <alignment horizontal="center" vertical="center"/>
    </xf>
    <xf numFmtId="0" fontId="100" fillId="0" borderId="113" xfId="0" applyFont="1" applyFill="1" applyBorder="1" applyAlignment="1">
      <alignment horizontal="left" vertical="center"/>
    </xf>
    <xf numFmtId="0" fontId="101" fillId="0" borderId="114" xfId="0" applyFont="1" applyFill="1" applyBorder="1" applyAlignment="1">
      <alignment horizontal="left" vertical="center"/>
    </xf>
    <xf numFmtId="0" fontId="102" fillId="0" borderId="115" xfId="0" applyFont="1" applyFill="1" applyBorder="1" applyAlignment="1">
      <alignment horizontal="left" vertical="center"/>
    </xf>
    <xf numFmtId="0" fontId="103" fillId="39" borderId="116" xfId="0" applyFont="1" applyFill="1" applyBorder="1" applyAlignment="1">
      <alignment horizontal="center" vertical="center"/>
    </xf>
    <xf numFmtId="0" fontId="104" fillId="40" borderId="117" xfId="0" applyFont="1" applyFill="1" applyBorder="1" applyAlignment="1">
      <alignment horizontal="left" vertical="center"/>
    </xf>
    <xf numFmtId="0" fontId="105" fillId="41" borderId="118" xfId="0" applyFont="1" applyFill="1" applyBorder="1" applyAlignment="1">
      <alignment horizontal="center" vertical="center"/>
    </xf>
    <xf numFmtId="0" fontId="106" fillId="0" borderId="119" xfId="0" applyFont="1" applyFill="1" applyBorder="1" applyAlignment="1">
      <alignment horizontal="left" vertical="center"/>
    </xf>
    <xf numFmtId="0" fontId="107" fillId="0" borderId="120" xfId="0" applyFont="1" applyFill="1" applyBorder="1" applyAlignment="1">
      <alignment horizontal="left" vertical="center"/>
    </xf>
    <xf numFmtId="0" fontId="108" fillId="0" borderId="121" xfId="0" applyFont="1" applyFill="1" applyBorder="1" applyAlignment="1">
      <alignment horizontal="left" vertical="center"/>
    </xf>
    <xf numFmtId="0" fontId="109" fillId="42" borderId="122" xfId="0" applyFont="1" applyFill="1" applyBorder="1" applyAlignment="1">
      <alignment horizontal="center" vertical="center"/>
    </xf>
    <xf numFmtId="0" fontId="110" fillId="43" borderId="123" xfId="0" applyFont="1" applyFill="1" applyBorder="1" applyAlignment="1">
      <alignment horizontal="left" vertical="center"/>
    </xf>
    <xf numFmtId="0" fontId="111" fillId="44" borderId="124" xfId="0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left" vertical="center"/>
    </xf>
    <xf numFmtId="0" fontId="113" fillId="0" borderId="0" xfId="0" applyFont="1" applyFill="1" applyBorder="1" applyAlignment="1">
      <alignment horizontal="left" vertical="center"/>
    </xf>
    <xf numFmtId="0" fontId="114" fillId="0" borderId="0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D8CF7D7B-F5D4-42E4-A642-473421C82D91}"/>
    <cellStyle name="Normal 2 2" xfId="2" xr:uid="{9347D346-4180-4A6E-B3AD-495DC7CBA284}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30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133350</xdr:rowOff>
    </xdr:from>
    <xdr:to>
      <xdr:col>2</xdr:col>
      <xdr:colOff>981075</xdr:colOff>
      <xdr:row>3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AFBEA2-6408-47EE-B83E-38037A03B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350"/>
          <a:ext cx="13811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377825</xdr:colOff>
      <xdr:row>19</xdr:row>
      <xdr:rowOff>104501</xdr:rowOff>
    </xdr:from>
    <xdr:to>
      <xdr:col>7</xdr:col>
      <xdr:colOff>120650</xdr:colOff>
      <xdr:row>41</xdr:row>
      <xdr:rowOff>97799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3BAFF2-7D92-D37D-140C-888A179A5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25" y="2914376"/>
          <a:ext cx="8372475" cy="35556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600808</xdr:colOff>
      <xdr:row>31</xdr:row>
      <xdr:rowOff>57603</xdr:rowOff>
    </xdr:from>
    <xdr:to>
      <xdr:col>5</xdr:col>
      <xdr:colOff>437008</xdr:colOff>
      <xdr:row>46</xdr:row>
      <xdr:rowOff>105595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5C4FDB-BBFD-48BF-9568-6FDEB0F3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08" y="2350930"/>
          <a:ext cx="5935489" cy="2469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</xdr:col>
      <xdr:colOff>1124426</xdr:colOff>
      <xdr:row>3</xdr:row>
      <xdr:rowOff>55245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5AC3D2-F17E-47C0-94BC-CBDE5545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6668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133350</xdr:rowOff>
    </xdr:from>
    <xdr:to>
      <xdr:col>2</xdr:col>
      <xdr:colOff>981075</xdr:colOff>
      <xdr:row>3</xdr:row>
      <xdr:rowOff>123825</xdr:rowOff>
    </xdr:to>
    <xdr:pic>
      <xdr:nvPicPr>
        <xdr:cNvPr id="13328" name="Imagem 1">
          <a:extLst>
            <a:ext uri="{FF2B5EF4-FFF2-40B4-BE49-F238E27FC236}">
              <a16:creationId xmlns:a16="http://schemas.microsoft.com/office/drawing/2014/main" id="{DD09BC5D-29E4-6F7F-7E53-6CA3C831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350"/>
          <a:ext cx="13811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342911574073" createdVersion="8" refreshedVersion="8" minRefreshableVersion="3" recordCount="92" xr:uid="{FDD70CFF-FD0E-4BE0-BF88-01FDFD52F602}">
  <cacheSource type="worksheet">
    <worksheetSource ref="B7:H100" sheet="Consolidado- Comber"/>
  </cacheSource>
  <cacheFields count="7">
    <cacheField name="Nº" numFmtId="0">
      <sharedItems containsSemiMixedTypes="0" containsString="0" containsNumber="1" containsInteger="1" minValue="1" maxValue="9"/>
    </cacheField>
    <cacheField name="Empresa" numFmtId="0">
      <sharedItems count="7">
        <s v="LOGISTICA"/>
        <s v="BIOMASSA"/>
        <s v="COMBER SA"/>
        <s v="FLORESTAL TO"/>
        <s v="SEMINOVOS"/>
        <s v="CAMINHÕES MT"/>
        <s v="LOCAÇÕES"/>
      </sharedItems>
    </cacheField>
    <cacheField name="ATIVIDADES" numFmtId="0">
      <sharedItems count="12">
        <s v="Folha de Pagamento"/>
        <s v="Compras"/>
        <s v="Vendas"/>
        <s v="Estoque"/>
        <s v="Contas a Pagar "/>
        <s v="Contas a Receber"/>
        <s v="Tesouraria"/>
        <s v="Patrimômio (movimentação)"/>
        <s v="Tributos"/>
        <s v="Contábil/Integração"/>
        <s v="Balancete Fechado"/>
        <s v="Contábil/ Balancete Fechado" u="1"/>
      </sharedItems>
    </cacheField>
    <cacheField name="AREA" numFmtId="0">
      <sharedItems count="8">
        <s v="DP"/>
        <s v="Suprimentos"/>
        <s v="Faturamento "/>
        <s v="Estoque"/>
        <s v="Financeiro"/>
        <s v="Patrimonio"/>
        <s v="Fiscal"/>
        <s v="Contábil"/>
      </sharedItems>
    </cacheField>
    <cacheField name="Responsavel" numFmtId="0">
      <sharedItems count="12">
        <s v="Marta/ Elizete"/>
        <s v="Marcus/ Leânia"/>
        <s v="Marcus/ Fabiana"/>
        <s v="Marcus"/>
        <s v="Patricia/ Walis/ Beatriz"/>
        <s v="Patricia/ Thaynara"/>
        <s v="Patricia/ Regicléssia"/>
        <s v="Juíra/ Guilherme"/>
        <s v="Iviane"/>
        <s v="Iviane/ Equipe Contábil"/>
        <s v="Marcus/Maria" u="1"/>
        <s v="Iviane e equipe" u="1"/>
      </sharedItems>
    </cacheField>
    <cacheField name="Dia Maximo" numFmtId="164">
      <sharedItems count="20">
        <s v="3º dia útil - 06/jan"/>
        <s v="2º dia útil - 05/jan"/>
        <s v="4º dia útil - 07/jan"/>
        <s v="12º dia útil - 19/jan"/>
        <s v="5º dia útil - 08/jan"/>
        <s v="3° dia util - 05/01" u="1"/>
        <s v="2° dia util  -03/01" u="1"/>
        <s v="Dia - 06/01" u="1"/>
        <s v="Data Final 27/01" u="1"/>
        <s v="Data Final 26/01" u="1"/>
        <s v="3° dia util - 03/12" u="1"/>
        <s v="2° dia util  -02/12" u="1"/>
        <s v="Dia - 04/12" u="1"/>
        <s v="Data Final 24/12" u="1"/>
        <s v="Data Final 20/12" u="1"/>
        <s v="3° dia util - 05/11" u="1"/>
        <s v="2° dia util  -04/11" u="1"/>
        <s v="Dia - 06/11" u="1"/>
        <s v="Data Final 20/11" u="1"/>
        <s v="Dia -07/11 A Final 20/11" u="1"/>
      </sharedItems>
    </cacheField>
    <cacheField name="Horario Maximo" numFmtId="20">
      <sharedItems containsSemiMixedTypes="0" containsNonDate="0" containsDate="1" containsString="0" minDate="1899-12-30T18:00:00" maxDate="1899-12-30T18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9.515871643518" createdVersion="8" refreshedVersion="8" minRefreshableVersion="3" recordCount="97" xr:uid="{487C37F7-F1CB-45DB-8DC1-CCF18F65218E}">
  <cacheSource type="worksheet">
    <worksheetSource ref="B7:O105" sheet="Consolidado- Comber"/>
  </cacheSource>
  <cacheFields count="14">
    <cacheField name="Nº" numFmtId="0">
      <sharedItems containsSemiMixedTypes="0" containsString="0" containsNumber="1" containsInteger="1" minValue="1" maxValue="9"/>
    </cacheField>
    <cacheField name="Empresa" numFmtId="0">
      <sharedItems/>
    </cacheField>
    <cacheField name="ATIVIDADES" numFmtId="0">
      <sharedItems count="11">
        <s v="Folha de Pagamento"/>
        <s v="Compras"/>
        <s v="Vendas"/>
        <s v="Estoque"/>
        <s v="Contas a Pagar "/>
        <s v="Contas a Receber"/>
        <s v="Tesouraria"/>
        <s v="Patrimômio (movimentação)"/>
        <s v="Tributos"/>
        <s v="Contábil/Integração"/>
        <s v="Balancete Fechado"/>
      </sharedItems>
    </cacheField>
    <cacheField name="AREA" numFmtId="0">
      <sharedItems count="8">
        <s v="DP"/>
        <s v="Suprimentos"/>
        <s v="Faturamento "/>
        <s v="Estoque"/>
        <s v="Financeiro"/>
        <s v="Patrimonio"/>
        <s v="Fiscal"/>
        <s v="Contábil"/>
      </sharedItems>
    </cacheField>
    <cacheField name="Responsavel" numFmtId="0">
      <sharedItems count="12">
        <s v="Marta/ Elizete"/>
        <s v="Marcus/ Leânia"/>
        <s v="Marcus/ Fabiana"/>
        <s v="Marcus"/>
        <s v="Patricia/ Walis"/>
        <s v="Patricia/ Luciene"/>
        <s v="Patricia/ Regicléssia"/>
        <s v="Kaio/ Gabriely"/>
        <s v="Iviane"/>
        <s v="Patricia/Luciene"/>
        <s v="Iviane/ Equipe Contábil"/>
        <s v="Patricia/ Thaynara"/>
      </sharedItems>
    </cacheField>
    <cacheField name="Dia Maximo" numFmtId="164">
      <sharedItems count="6">
        <s v="4º dia útil - 05/mar"/>
        <s v="1º dia útil - 02/mar"/>
        <s v="2º dia útil - 03/mar"/>
        <s v="3º dia útil - 04/mar"/>
        <s v="5º dia útil - 06/mar"/>
        <s v="16º dia útil - 23/mar"/>
      </sharedItems>
    </cacheField>
    <cacheField name="Horario Maximo" numFmtId="20">
      <sharedItems containsSemiMixedTypes="0" containsNonDate="0" containsDate="1" containsString="0" minDate="1899-12-30T18:00:00" maxDate="1899-12-30T18:00:00"/>
    </cacheField>
    <cacheField name="x" numFmtId="0">
      <sharedItems containsNonDate="0" containsString="0" containsBlank="1"/>
    </cacheField>
    <cacheField name="Entregue em" numFmtId="0">
      <sharedItems containsNonDate="0" containsDate="1" containsString="0" containsBlank="1" minDate="2026-01-05T00:00:00" maxDate="2026-02-10T00:00:00"/>
    </cacheField>
    <cacheField name="Horário entrega" numFmtId="0">
      <sharedItems containsNonDate="0" containsDate="1" containsString="0" containsBlank="1" minDate="1899-12-30T08:59:00" maxDate="1899-12-30T21:25:00"/>
    </cacheField>
    <cacheField name="x2" numFmtId="0">
      <sharedItems containsNonDate="0" containsString="0" containsBlank="1"/>
    </cacheField>
    <cacheField name="Obs" numFmtId="0">
      <sharedItems containsBlank="1"/>
    </cacheField>
    <cacheField name="x3" numFmtId="0">
      <sharedItems containsNonDate="0" containsString="0" containsBlank="1"/>
    </cacheField>
    <cacheField name="D.U" numFmtId="0">
      <sharedItems containsSemiMixedTypes="0" containsString="0" containsNumber="1" containsInteger="1" minValue="1" maxValue="16" count="6">
        <n v="4"/>
        <n v="1"/>
        <n v="2"/>
        <n v="3"/>
        <n v="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607610879626" createdVersion="8" refreshedVersion="8" minRefreshableVersion="3" recordCount="114" xr:uid="{33C433CC-25D8-4AD4-B201-08300785102A}">
  <cacheSource type="worksheet">
    <worksheetSource ref="B7:J121" sheet="Consolidado- Comber"/>
  </cacheSource>
  <cacheFields count="9">
    <cacheField name="Nº" numFmtId="0">
      <sharedItems containsSemiMixedTypes="0" containsString="0" containsNumber="1" containsInteger="1" minValue="1" maxValue="18"/>
    </cacheField>
    <cacheField name="Empresa" numFmtId="0">
      <sharedItems/>
    </cacheField>
    <cacheField name="ATIVIDADES" numFmtId="0">
      <sharedItems count="12">
        <s v="Folha de Pagamento"/>
        <s v="Compras"/>
        <s v="Vendas"/>
        <s v="Estoque"/>
        <s v="Contas a Pagar "/>
        <s v="Contas a Receber"/>
        <s v="Tesouraria"/>
        <s v="Patrimômio (movimentação)"/>
        <s v="Tributos"/>
        <s v="Contábil/Integração"/>
        <s v="Balancete Fechado"/>
        <s v="Contas a Pagar"/>
      </sharedItems>
    </cacheField>
    <cacheField name="AREA" numFmtId="0">
      <sharedItems count="8">
        <s v="DP"/>
        <s v="Suprimentos"/>
        <s v="Faturamento "/>
        <s v="Estoque"/>
        <s v="Financeiro"/>
        <s v="Patrimonio"/>
        <s v="Fiscal"/>
        <s v="Contábil"/>
      </sharedItems>
    </cacheField>
    <cacheField name="Responsavel" numFmtId="0">
      <sharedItems count="14">
        <s v="Marta/ Elizete"/>
        <s v="Marcus/ Leânia"/>
        <s v="Marcus/ Fabiana"/>
        <s v="Marcus"/>
        <s v="Patricia/ Regiclessia"/>
        <s v="Patricia/Luciene"/>
        <s v="Patricia/ Regicléssia"/>
        <s v=" Gabriely"/>
        <s v="Iviane"/>
        <s v="Iviane/ Equipe Contábil"/>
        <s v="Jamile"/>
        <s v="Patricia/ Luciene" u="1"/>
        <s v="Patricia/ Walis" u="1"/>
        <s v="Patricia/ Thaynara" u="1"/>
      </sharedItems>
    </cacheField>
    <cacheField name="Dia Maximo" numFmtId="164">
      <sharedItems count="7">
        <s v="4º dia útil - 06/jul"/>
        <s v="1º dia útil - 01/jul"/>
        <s v="2º dia útil - 02/jul"/>
        <s v="3º dia útil - 03/jul"/>
        <s v="5º dia útil - 07/jul"/>
        <s v="15º dia útil - 21/jul"/>
        <s v="º dia útil - 00/jan"/>
      </sharedItems>
    </cacheField>
    <cacheField name="Horario Maximo" numFmtId="20">
      <sharedItems containsSemiMixedTypes="0" containsNonDate="0" containsDate="1" containsString="0" minDate="1899-12-30T18:00:00" maxDate="1899-12-30T18:00:00"/>
    </cacheField>
    <cacheField name="x" numFmtId="0">
      <sharedItems containsNonDate="0" containsString="0" containsBlank="1"/>
    </cacheField>
    <cacheField name="Entregue em" numFmtId="14">
      <sharedItems containsDate="1" containsBlank="1" containsMixedTypes="1" minDate="2026-07-02T00:00:00" maxDate="2026-07-07T00:00:00" count="4">
        <m/>
        <d v="2026-07-02T00:00:00"/>
        <d v="2026-07-06T00:00:00"/>
        <s v="-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1"/>
    <x v="0"/>
    <x v="0"/>
    <x v="0"/>
    <x v="0"/>
    <x v="0"/>
    <d v="1899-12-30T18:00:00"/>
  </r>
  <r>
    <n v="2"/>
    <x v="0"/>
    <x v="1"/>
    <x v="1"/>
    <x v="1"/>
    <x v="1"/>
    <d v="1899-12-30T18:00:00"/>
  </r>
  <r>
    <n v="3"/>
    <x v="0"/>
    <x v="2"/>
    <x v="2"/>
    <x v="2"/>
    <x v="1"/>
    <d v="1899-12-30T18:00:00"/>
  </r>
  <r>
    <n v="1"/>
    <x v="0"/>
    <x v="0"/>
    <x v="0"/>
    <x v="0"/>
    <x v="0"/>
    <d v="1899-12-30T18:00:00"/>
  </r>
  <r>
    <n v="2"/>
    <x v="0"/>
    <x v="1"/>
    <x v="1"/>
    <x v="1"/>
    <x v="1"/>
    <d v="1899-12-30T18:00:00"/>
  </r>
  <r>
    <n v="3"/>
    <x v="0"/>
    <x v="2"/>
    <x v="2"/>
    <x v="2"/>
    <x v="1"/>
    <d v="1899-12-30T18:00:00"/>
  </r>
  <r>
    <n v="4"/>
    <x v="0"/>
    <x v="3"/>
    <x v="3"/>
    <x v="3"/>
    <x v="1"/>
    <d v="1899-12-30T18:00:00"/>
  </r>
  <r>
    <n v="5"/>
    <x v="0"/>
    <x v="4"/>
    <x v="4"/>
    <x v="4"/>
    <x v="0"/>
    <d v="1899-12-30T18:00:00"/>
  </r>
  <r>
    <n v="6"/>
    <x v="0"/>
    <x v="5"/>
    <x v="4"/>
    <x v="5"/>
    <x v="0"/>
    <d v="1899-12-30T18:00:00"/>
  </r>
  <r>
    <n v="7"/>
    <x v="0"/>
    <x v="6"/>
    <x v="4"/>
    <x v="6"/>
    <x v="0"/>
    <d v="1899-12-30T18:00:00"/>
  </r>
  <r>
    <n v="8"/>
    <x v="0"/>
    <x v="7"/>
    <x v="5"/>
    <x v="7"/>
    <x v="0"/>
    <d v="1899-12-30T18:00:00"/>
  </r>
  <r>
    <n v="9"/>
    <x v="0"/>
    <x v="8"/>
    <x v="6"/>
    <x v="8"/>
    <x v="2"/>
    <d v="1899-12-30T18:00:00"/>
  </r>
  <r>
    <n v="1"/>
    <x v="1"/>
    <x v="0"/>
    <x v="0"/>
    <x v="0"/>
    <x v="0"/>
    <d v="1899-12-30T18:00:00"/>
  </r>
  <r>
    <n v="2"/>
    <x v="1"/>
    <x v="1"/>
    <x v="1"/>
    <x v="1"/>
    <x v="1"/>
    <d v="1899-12-30T18:00:00"/>
  </r>
  <r>
    <n v="3"/>
    <x v="1"/>
    <x v="2"/>
    <x v="2"/>
    <x v="2"/>
    <x v="1"/>
    <d v="1899-12-30T18:00:00"/>
  </r>
  <r>
    <n v="1"/>
    <x v="1"/>
    <x v="0"/>
    <x v="0"/>
    <x v="0"/>
    <x v="0"/>
    <d v="1899-12-30T18:00:00"/>
  </r>
  <r>
    <n v="2"/>
    <x v="1"/>
    <x v="1"/>
    <x v="1"/>
    <x v="1"/>
    <x v="1"/>
    <d v="1899-12-30T18:00:00"/>
  </r>
  <r>
    <n v="3"/>
    <x v="1"/>
    <x v="2"/>
    <x v="2"/>
    <x v="2"/>
    <x v="1"/>
    <d v="1899-12-30T18:00:00"/>
  </r>
  <r>
    <n v="4"/>
    <x v="1"/>
    <x v="3"/>
    <x v="3"/>
    <x v="3"/>
    <x v="1"/>
    <d v="1899-12-30T18:00:00"/>
  </r>
  <r>
    <n v="5"/>
    <x v="1"/>
    <x v="4"/>
    <x v="4"/>
    <x v="4"/>
    <x v="0"/>
    <d v="1899-12-30T18:00:00"/>
  </r>
  <r>
    <n v="6"/>
    <x v="1"/>
    <x v="5"/>
    <x v="4"/>
    <x v="5"/>
    <x v="0"/>
    <d v="1899-12-30T18:00:00"/>
  </r>
  <r>
    <n v="7"/>
    <x v="1"/>
    <x v="6"/>
    <x v="4"/>
    <x v="6"/>
    <x v="0"/>
    <d v="1899-12-30T18:00:00"/>
  </r>
  <r>
    <n v="8"/>
    <x v="1"/>
    <x v="7"/>
    <x v="5"/>
    <x v="7"/>
    <x v="0"/>
    <d v="1899-12-30T18:00:00"/>
  </r>
  <r>
    <n v="9"/>
    <x v="1"/>
    <x v="8"/>
    <x v="6"/>
    <x v="8"/>
    <x v="2"/>
    <d v="1899-12-30T18:00:00"/>
  </r>
  <r>
    <n v="1"/>
    <x v="2"/>
    <x v="0"/>
    <x v="0"/>
    <x v="0"/>
    <x v="0"/>
    <d v="1899-12-30T18:00:00"/>
  </r>
  <r>
    <n v="2"/>
    <x v="2"/>
    <x v="1"/>
    <x v="1"/>
    <x v="1"/>
    <x v="1"/>
    <d v="1899-12-30T18:00:00"/>
  </r>
  <r>
    <n v="3"/>
    <x v="2"/>
    <x v="2"/>
    <x v="2"/>
    <x v="2"/>
    <x v="1"/>
    <d v="1899-12-30T18:00:00"/>
  </r>
  <r>
    <n v="1"/>
    <x v="2"/>
    <x v="0"/>
    <x v="0"/>
    <x v="0"/>
    <x v="0"/>
    <d v="1899-12-30T18:00:00"/>
  </r>
  <r>
    <n v="2"/>
    <x v="2"/>
    <x v="1"/>
    <x v="1"/>
    <x v="1"/>
    <x v="1"/>
    <d v="1899-12-30T18:00:00"/>
  </r>
  <r>
    <n v="3"/>
    <x v="2"/>
    <x v="2"/>
    <x v="2"/>
    <x v="2"/>
    <x v="1"/>
    <d v="1899-12-30T18:00:00"/>
  </r>
  <r>
    <n v="4"/>
    <x v="2"/>
    <x v="3"/>
    <x v="3"/>
    <x v="3"/>
    <x v="1"/>
    <d v="1899-12-30T18:00:00"/>
  </r>
  <r>
    <n v="5"/>
    <x v="2"/>
    <x v="4"/>
    <x v="4"/>
    <x v="4"/>
    <x v="0"/>
    <d v="1899-12-30T18:00:00"/>
  </r>
  <r>
    <n v="6"/>
    <x v="2"/>
    <x v="5"/>
    <x v="4"/>
    <x v="5"/>
    <x v="0"/>
    <d v="1899-12-30T18:00:00"/>
  </r>
  <r>
    <n v="7"/>
    <x v="2"/>
    <x v="6"/>
    <x v="4"/>
    <x v="6"/>
    <x v="0"/>
    <d v="1899-12-30T18:00:00"/>
  </r>
  <r>
    <n v="8"/>
    <x v="2"/>
    <x v="7"/>
    <x v="5"/>
    <x v="7"/>
    <x v="0"/>
    <d v="1899-12-30T18:00:00"/>
  </r>
  <r>
    <n v="9"/>
    <x v="2"/>
    <x v="8"/>
    <x v="6"/>
    <x v="8"/>
    <x v="2"/>
    <d v="1899-12-30T18:00:00"/>
  </r>
  <r>
    <n v="1"/>
    <x v="3"/>
    <x v="0"/>
    <x v="0"/>
    <x v="0"/>
    <x v="0"/>
    <d v="1899-12-30T18:00:00"/>
  </r>
  <r>
    <n v="2"/>
    <x v="3"/>
    <x v="1"/>
    <x v="1"/>
    <x v="1"/>
    <x v="1"/>
    <d v="1899-12-30T18:00:00"/>
  </r>
  <r>
    <n v="3"/>
    <x v="3"/>
    <x v="2"/>
    <x v="2"/>
    <x v="2"/>
    <x v="1"/>
    <d v="1899-12-30T18:00:00"/>
  </r>
  <r>
    <n v="1"/>
    <x v="3"/>
    <x v="0"/>
    <x v="0"/>
    <x v="0"/>
    <x v="0"/>
    <d v="1899-12-30T18:00:00"/>
  </r>
  <r>
    <n v="2"/>
    <x v="3"/>
    <x v="1"/>
    <x v="1"/>
    <x v="1"/>
    <x v="1"/>
    <d v="1899-12-30T18:00:00"/>
  </r>
  <r>
    <n v="3"/>
    <x v="3"/>
    <x v="2"/>
    <x v="2"/>
    <x v="2"/>
    <x v="1"/>
    <d v="1899-12-30T18:00:00"/>
  </r>
  <r>
    <n v="4"/>
    <x v="3"/>
    <x v="3"/>
    <x v="3"/>
    <x v="3"/>
    <x v="1"/>
    <d v="1899-12-30T18:00:00"/>
  </r>
  <r>
    <n v="5"/>
    <x v="3"/>
    <x v="4"/>
    <x v="4"/>
    <x v="4"/>
    <x v="0"/>
    <d v="1899-12-30T18:00:00"/>
  </r>
  <r>
    <n v="6"/>
    <x v="3"/>
    <x v="5"/>
    <x v="4"/>
    <x v="5"/>
    <x v="0"/>
    <d v="1899-12-30T18:00:00"/>
  </r>
  <r>
    <n v="7"/>
    <x v="3"/>
    <x v="6"/>
    <x v="4"/>
    <x v="6"/>
    <x v="0"/>
    <d v="1899-12-30T18:00:00"/>
  </r>
  <r>
    <n v="8"/>
    <x v="3"/>
    <x v="7"/>
    <x v="5"/>
    <x v="7"/>
    <x v="0"/>
    <d v="1899-12-30T18:00:00"/>
  </r>
  <r>
    <n v="9"/>
    <x v="3"/>
    <x v="8"/>
    <x v="6"/>
    <x v="8"/>
    <x v="2"/>
    <d v="1899-12-30T18:00:00"/>
  </r>
  <r>
    <n v="1"/>
    <x v="4"/>
    <x v="0"/>
    <x v="0"/>
    <x v="0"/>
    <x v="0"/>
    <d v="1899-12-30T18:00:00"/>
  </r>
  <r>
    <n v="2"/>
    <x v="4"/>
    <x v="1"/>
    <x v="1"/>
    <x v="1"/>
    <x v="1"/>
    <d v="1899-12-30T18:00:00"/>
  </r>
  <r>
    <n v="3"/>
    <x v="4"/>
    <x v="2"/>
    <x v="2"/>
    <x v="2"/>
    <x v="1"/>
    <d v="1899-12-30T18:00:00"/>
  </r>
  <r>
    <n v="1"/>
    <x v="4"/>
    <x v="0"/>
    <x v="0"/>
    <x v="0"/>
    <x v="0"/>
    <d v="1899-12-30T18:00:00"/>
  </r>
  <r>
    <n v="2"/>
    <x v="4"/>
    <x v="1"/>
    <x v="1"/>
    <x v="1"/>
    <x v="1"/>
    <d v="1899-12-30T18:00:00"/>
  </r>
  <r>
    <n v="3"/>
    <x v="4"/>
    <x v="2"/>
    <x v="2"/>
    <x v="2"/>
    <x v="1"/>
    <d v="1899-12-30T18:00:00"/>
  </r>
  <r>
    <n v="4"/>
    <x v="4"/>
    <x v="3"/>
    <x v="3"/>
    <x v="3"/>
    <x v="1"/>
    <d v="1899-12-30T18:00:00"/>
  </r>
  <r>
    <n v="5"/>
    <x v="4"/>
    <x v="4"/>
    <x v="4"/>
    <x v="4"/>
    <x v="0"/>
    <d v="1899-12-30T18:00:00"/>
  </r>
  <r>
    <n v="6"/>
    <x v="4"/>
    <x v="5"/>
    <x v="4"/>
    <x v="5"/>
    <x v="0"/>
    <d v="1899-12-30T18:00:00"/>
  </r>
  <r>
    <n v="7"/>
    <x v="4"/>
    <x v="6"/>
    <x v="4"/>
    <x v="6"/>
    <x v="0"/>
    <d v="1899-12-30T18:00:00"/>
  </r>
  <r>
    <n v="8"/>
    <x v="4"/>
    <x v="7"/>
    <x v="5"/>
    <x v="7"/>
    <x v="0"/>
    <d v="1899-12-30T18:00:00"/>
  </r>
  <r>
    <n v="9"/>
    <x v="4"/>
    <x v="8"/>
    <x v="6"/>
    <x v="8"/>
    <x v="2"/>
    <d v="1899-12-30T18:00:00"/>
  </r>
  <r>
    <n v="1"/>
    <x v="5"/>
    <x v="0"/>
    <x v="0"/>
    <x v="0"/>
    <x v="0"/>
    <d v="1899-12-30T18:00:00"/>
  </r>
  <r>
    <n v="2"/>
    <x v="5"/>
    <x v="1"/>
    <x v="1"/>
    <x v="1"/>
    <x v="1"/>
    <d v="1899-12-30T18:00:00"/>
  </r>
  <r>
    <n v="3"/>
    <x v="5"/>
    <x v="2"/>
    <x v="2"/>
    <x v="2"/>
    <x v="1"/>
    <d v="1899-12-30T18:00:00"/>
  </r>
  <r>
    <n v="1"/>
    <x v="5"/>
    <x v="0"/>
    <x v="0"/>
    <x v="0"/>
    <x v="0"/>
    <d v="1899-12-30T18:00:00"/>
  </r>
  <r>
    <n v="2"/>
    <x v="5"/>
    <x v="1"/>
    <x v="1"/>
    <x v="1"/>
    <x v="1"/>
    <d v="1899-12-30T18:00:00"/>
  </r>
  <r>
    <n v="3"/>
    <x v="5"/>
    <x v="2"/>
    <x v="2"/>
    <x v="2"/>
    <x v="1"/>
    <d v="1899-12-30T18:00:00"/>
  </r>
  <r>
    <n v="4"/>
    <x v="5"/>
    <x v="3"/>
    <x v="3"/>
    <x v="3"/>
    <x v="1"/>
    <d v="1899-12-30T18:00:00"/>
  </r>
  <r>
    <n v="5"/>
    <x v="5"/>
    <x v="4"/>
    <x v="4"/>
    <x v="4"/>
    <x v="0"/>
    <d v="1899-12-30T18:00:00"/>
  </r>
  <r>
    <n v="6"/>
    <x v="5"/>
    <x v="5"/>
    <x v="4"/>
    <x v="5"/>
    <x v="0"/>
    <d v="1899-12-30T18:00:00"/>
  </r>
  <r>
    <n v="7"/>
    <x v="5"/>
    <x v="6"/>
    <x v="4"/>
    <x v="6"/>
    <x v="0"/>
    <d v="1899-12-30T18:00:00"/>
  </r>
  <r>
    <n v="8"/>
    <x v="5"/>
    <x v="7"/>
    <x v="5"/>
    <x v="7"/>
    <x v="0"/>
    <d v="1899-12-30T18:00:00"/>
  </r>
  <r>
    <n v="9"/>
    <x v="5"/>
    <x v="8"/>
    <x v="6"/>
    <x v="8"/>
    <x v="2"/>
    <d v="1899-12-30T18:00:00"/>
  </r>
  <r>
    <n v="9"/>
    <x v="0"/>
    <x v="9"/>
    <x v="7"/>
    <x v="9"/>
    <x v="3"/>
    <d v="1899-12-30T18:00:00"/>
  </r>
  <r>
    <n v="9"/>
    <x v="1"/>
    <x v="9"/>
    <x v="7"/>
    <x v="9"/>
    <x v="3"/>
    <d v="1899-12-30T18:00:00"/>
  </r>
  <r>
    <n v="9"/>
    <x v="2"/>
    <x v="9"/>
    <x v="7"/>
    <x v="9"/>
    <x v="3"/>
    <d v="1899-12-30T18:00:00"/>
  </r>
  <r>
    <n v="9"/>
    <x v="3"/>
    <x v="9"/>
    <x v="7"/>
    <x v="9"/>
    <x v="3"/>
    <d v="1899-12-30T18:00:00"/>
  </r>
  <r>
    <n v="9"/>
    <x v="4"/>
    <x v="9"/>
    <x v="7"/>
    <x v="9"/>
    <x v="3"/>
    <d v="1899-12-30T18:00:00"/>
  </r>
  <r>
    <n v="9"/>
    <x v="5"/>
    <x v="9"/>
    <x v="7"/>
    <x v="9"/>
    <x v="3"/>
    <d v="1899-12-30T18:00:00"/>
  </r>
  <r>
    <n v="9"/>
    <x v="0"/>
    <x v="10"/>
    <x v="7"/>
    <x v="9"/>
    <x v="4"/>
    <d v="1899-12-30T18:00:00"/>
  </r>
  <r>
    <n v="9"/>
    <x v="1"/>
    <x v="10"/>
    <x v="7"/>
    <x v="9"/>
    <x v="4"/>
    <d v="1899-12-30T18:00:00"/>
  </r>
  <r>
    <n v="9"/>
    <x v="2"/>
    <x v="10"/>
    <x v="7"/>
    <x v="9"/>
    <x v="4"/>
    <d v="1899-12-30T18:00:00"/>
  </r>
  <r>
    <n v="9"/>
    <x v="3"/>
    <x v="10"/>
    <x v="7"/>
    <x v="9"/>
    <x v="4"/>
    <d v="1899-12-30T18:00:00"/>
  </r>
  <r>
    <n v="9"/>
    <x v="4"/>
    <x v="10"/>
    <x v="7"/>
    <x v="9"/>
    <x v="4"/>
    <d v="1899-12-30T18:00:00"/>
  </r>
  <r>
    <n v="9"/>
    <x v="5"/>
    <x v="10"/>
    <x v="7"/>
    <x v="9"/>
    <x v="4"/>
    <d v="1899-12-30T18:00:00"/>
  </r>
  <r>
    <n v="1"/>
    <x v="6"/>
    <x v="1"/>
    <x v="1"/>
    <x v="1"/>
    <x v="1"/>
    <d v="1899-12-30T18:00:00"/>
  </r>
  <r>
    <n v="2"/>
    <x v="6"/>
    <x v="2"/>
    <x v="2"/>
    <x v="2"/>
    <x v="1"/>
    <d v="1899-12-30T18:00:00"/>
  </r>
  <r>
    <n v="3"/>
    <x v="6"/>
    <x v="3"/>
    <x v="3"/>
    <x v="3"/>
    <x v="1"/>
    <d v="1899-12-30T18:00:00"/>
  </r>
  <r>
    <n v="4"/>
    <x v="6"/>
    <x v="4"/>
    <x v="4"/>
    <x v="4"/>
    <x v="0"/>
    <d v="1899-12-30T18:00:00"/>
  </r>
  <r>
    <n v="5"/>
    <x v="6"/>
    <x v="5"/>
    <x v="4"/>
    <x v="5"/>
    <x v="0"/>
    <d v="1899-12-30T18:00:00"/>
  </r>
  <r>
    <n v="6"/>
    <x v="6"/>
    <x v="6"/>
    <x v="4"/>
    <x v="6"/>
    <x v="0"/>
    <d v="1899-12-30T18:00:00"/>
  </r>
  <r>
    <n v="7"/>
    <x v="6"/>
    <x v="7"/>
    <x v="5"/>
    <x v="7"/>
    <x v="0"/>
    <d v="1899-12-30T18:00:00"/>
  </r>
  <r>
    <n v="8"/>
    <x v="6"/>
    <x v="8"/>
    <x v="6"/>
    <x v="8"/>
    <x v="2"/>
    <d v="1899-12-30T18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1"/>
    <s v="LOGISTIC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LOGISTICA"/>
    <x v="1"/>
    <x v="1"/>
    <x v="1"/>
    <x v="1"/>
    <d v="1899-12-30T18:00:00"/>
    <m/>
    <d v="2026-02-03T00:00:00"/>
    <d v="1899-12-30T18:00:00"/>
    <m/>
    <m/>
    <m/>
    <x v="1"/>
  </r>
  <r>
    <n v="3"/>
    <s v="LOGISTICA"/>
    <x v="2"/>
    <x v="2"/>
    <x v="2"/>
    <x v="1"/>
    <d v="1899-12-30T18:00:00"/>
    <m/>
    <d v="2026-02-03T08:52:00"/>
    <d v="1899-12-30T19:08:00"/>
    <m/>
    <s v="problemas na importação automatica "/>
    <m/>
    <x v="1"/>
  </r>
  <r>
    <n v="1"/>
    <s v="LOGISTIC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LOGISTICA"/>
    <x v="1"/>
    <x v="1"/>
    <x v="1"/>
    <x v="1"/>
    <d v="1899-12-30T18:00:00"/>
    <m/>
    <d v="2026-02-03T00:00:00"/>
    <d v="1899-12-30T18:00:00"/>
    <m/>
    <m/>
    <m/>
    <x v="1"/>
  </r>
  <r>
    <n v="3"/>
    <s v="LOGISTICA"/>
    <x v="2"/>
    <x v="2"/>
    <x v="2"/>
    <x v="1"/>
    <d v="1899-12-30T18:00:00"/>
    <m/>
    <d v="2026-02-02T00:00:00"/>
    <d v="1899-12-30T17:40:00"/>
    <m/>
    <m/>
    <m/>
    <x v="1"/>
  </r>
  <r>
    <n v="4"/>
    <s v="LOGISTICA"/>
    <x v="3"/>
    <x v="3"/>
    <x v="3"/>
    <x v="1"/>
    <d v="1899-12-30T18:00:00"/>
    <m/>
    <d v="2026-02-03T00:00:00"/>
    <d v="1899-12-30T21:25:00"/>
    <m/>
    <m/>
    <m/>
    <x v="1"/>
  </r>
  <r>
    <n v="5"/>
    <s v="LOGISTICA"/>
    <x v="4"/>
    <x v="4"/>
    <x v="4"/>
    <x v="2"/>
    <d v="1899-12-30T18:00:00"/>
    <m/>
    <m/>
    <m/>
    <m/>
    <m/>
    <m/>
    <x v="2"/>
  </r>
  <r>
    <n v="6"/>
    <s v="LOGISTICA"/>
    <x v="5"/>
    <x v="4"/>
    <x v="5"/>
    <x v="2"/>
    <d v="1899-12-30T18:00:00"/>
    <m/>
    <d v="2026-02-04T00:00:00"/>
    <d v="1899-12-30T16:00:00"/>
    <m/>
    <m/>
    <m/>
    <x v="2"/>
  </r>
  <r>
    <n v="7"/>
    <s v="LOGISTICA"/>
    <x v="6"/>
    <x v="4"/>
    <x v="6"/>
    <x v="2"/>
    <d v="1899-12-30T18:00:00"/>
    <m/>
    <d v="2026-02-06T00:00:00"/>
    <d v="1899-12-30T18:18:00"/>
    <m/>
    <m/>
    <m/>
    <x v="2"/>
  </r>
  <r>
    <n v="8"/>
    <s v="LOGISTICA"/>
    <x v="7"/>
    <x v="5"/>
    <x v="7"/>
    <x v="2"/>
    <d v="1899-12-30T18:00:00"/>
    <m/>
    <d v="2026-02-04T00:00:00"/>
    <d v="1899-12-30T18:00:00"/>
    <m/>
    <m/>
    <m/>
    <x v="2"/>
  </r>
  <r>
    <n v="9"/>
    <s v="LOGISTICA"/>
    <x v="8"/>
    <x v="6"/>
    <x v="8"/>
    <x v="3"/>
    <d v="1899-12-30T18:00:00"/>
    <m/>
    <m/>
    <m/>
    <m/>
    <s v="Pendencias na planilha de erro 06/01/2026 18:00"/>
    <m/>
    <x v="3"/>
  </r>
  <r>
    <n v="1"/>
    <s v="BIOMASS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BIOMASSA"/>
    <x v="1"/>
    <x v="1"/>
    <x v="1"/>
    <x v="1"/>
    <d v="1899-12-30T18:00:00"/>
    <m/>
    <d v="2026-02-02T00:00:00"/>
    <d v="1899-12-30T18:00:00"/>
    <m/>
    <m/>
    <m/>
    <x v="1"/>
  </r>
  <r>
    <n v="3"/>
    <s v="BIOMASSA"/>
    <x v="2"/>
    <x v="2"/>
    <x v="2"/>
    <x v="1"/>
    <d v="1899-12-30T18:00:00"/>
    <m/>
    <d v="2026-02-02T00:00:00"/>
    <d v="1899-12-30T19:48:00"/>
    <m/>
    <m/>
    <m/>
    <x v="1"/>
  </r>
  <r>
    <n v="1"/>
    <s v="BIOMASS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BIOMASSA"/>
    <x v="1"/>
    <x v="1"/>
    <x v="1"/>
    <x v="1"/>
    <d v="1899-12-30T18:00:00"/>
    <m/>
    <d v="2026-02-02T00:00:00"/>
    <d v="1899-12-30T18:00:00"/>
    <m/>
    <m/>
    <m/>
    <x v="1"/>
  </r>
  <r>
    <n v="3"/>
    <s v="BIOMASSA"/>
    <x v="2"/>
    <x v="2"/>
    <x v="2"/>
    <x v="1"/>
    <d v="1899-12-30T18:00:00"/>
    <m/>
    <d v="2026-02-02T00:00:00"/>
    <d v="1899-12-30T19:48:00"/>
    <m/>
    <m/>
    <m/>
    <x v="1"/>
  </r>
  <r>
    <n v="4"/>
    <s v="BIOMASSA"/>
    <x v="3"/>
    <x v="3"/>
    <x v="3"/>
    <x v="1"/>
    <d v="1899-12-30T18:00:00"/>
    <m/>
    <d v="2026-02-03T00:00:00"/>
    <d v="1899-12-30T21:25:00"/>
    <m/>
    <m/>
    <m/>
    <x v="1"/>
  </r>
  <r>
    <n v="5"/>
    <s v="BIOMASSA"/>
    <x v="4"/>
    <x v="4"/>
    <x v="4"/>
    <x v="2"/>
    <d v="1899-12-30T18:00:00"/>
    <m/>
    <m/>
    <m/>
    <m/>
    <m/>
    <m/>
    <x v="2"/>
  </r>
  <r>
    <n v="6"/>
    <s v="BIOMASSA"/>
    <x v="5"/>
    <x v="4"/>
    <x v="9"/>
    <x v="2"/>
    <d v="1899-12-30T18:00:00"/>
    <m/>
    <d v="2026-02-04T00:00:00"/>
    <d v="1899-12-30T15:00:00"/>
    <m/>
    <m/>
    <m/>
    <x v="2"/>
  </r>
  <r>
    <n v="7"/>
    <s v="BIOMASSA"/>
    <x v="6"/>
    <x v="4"/>
    <x v="6"/>
    <x v="2"/>
    <d v="1899-12-30T18:00:00"/>
    <m/>
    <d v="2026-02-06T00:00:00"/>
    <d v="1899-12-30T18:45:00"/>
    <m/>
    <m/>
    <m/>
    <x v="2"/>
  </r>
  <r>
    <n v="8"/>
    <s v="BIOMASSA"/>
    <x v="7"/>
    <x v="5"/>
    <x v="7"/>
    <x v="2"/>
    <d v="1899-12-30T18:00:00"/>
    <m/>
    <d v="2026-02-04T00:00:00"/>
    <d v="1899-12-30T15:18:00"/>
    <m/>
    <m/>
    <m/>
    <x v="2"/>
  </r>
  <r>
    <n v="9"/>
    <s v="BIOMASSA"/>
    <x v="8"/>
    <x v="6"/>
    <x v="8"/>
    <x v="3"/>
    <d v="1899-12-30T18:00:00"/>
    <m/>
    <m/>
    <m/>
    <m/>
    <s v="Pendencias na planilha de erro 06/01/2026 18:00"/>
    <m/>
    <x v="3"/>
  </r>
  <r>
    <n v="1"/>
    <s v="COMBER S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COMBER SA"/>
    <x v="1"/>
    <x v="1"/>
    <x v="1"/>
    <x v="1"/>
    <d v="1899-12-30T18:00:00"/>
    <m/>
    <d v="2026-02-02T00:00:00"/>
    <d v="1899-12-30T18:00:00"/>
    <m/>
    <m/>
    <m/>
    <x v="1"/>
  </r>
  <r>
    <n v="3"/>
    <s v="COMBER SA"/>
    <x v="2"/>
    <x v="2"/>
    <x v="2"/>
    <x v="1"/>
    <d v="1899-12-30T18:00:00"/>
    <m/>
    <d v="2026-02-02T00:00:00"/>
    <d v="1899-12-30T19:48:00"/>
    <m/>
    <m/>
    <m/>
    <x v="1"/>
  </r>
  <r>
    <n v="1"/>
    <s v="COMBER SA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COMBER SA"/>
    <x v="1"/>
    <x v="1"/>
    <x v="1"/>
    <x v="1"/>
    <d v="1899-12-30T18:00:00"/>
    <m/>
    <d v="2026-02-02T00:00:00"/>
    <d v="1899-12-30T18:00:00"/>
    <m/>
    <m/>
    <m/>
    <x v="1"/>
  </r>
  <r>
    <n v="3"/>
    <s v="COMBER SA"/>
    <x v="2"/>
    <x v="2"/>
    <x v="2"/>
    <x v="1"/>
    <d v="1899-12-30T18:00:00"/>
    <m/>
    <d v="2026-02-02T00:00:00"/>
    <d v="1899-12-30T19:48:00"/>
    <m/>
    <m/>
    <m/>
    <x v="1"/>
  </r>
  <r>
    <n v="4"/>
    <s v="COMBER SA"/>
    <x v="3"/>
    <x v="3"/>
    <x v="3"/>
    <x v="1"/>
    <d v="1899-12-30T18:00:00"/>
    <m/>
    <d v="2026-02-03T00:00:00"/>
    <d v="1899-12-30T21:25:00"/>
    <m/>
    <m/>
    <m/>
    <x v="1"/>
  </r>
  <r>
    <n v="5"/>
    <s v="COMBER SA"/>
    <x v="4"/>
    <x v="4"/>
    <x v="4"/>
    <x v="2"/>
    <d v="1899-12-30T18:00:00"/>
    <m/>
    <m/>
    <m/>
    <m/>
    <m/>
    <m/>
    <x v="2"/>
  </r>
  <r>
    <n v="6"/>
    <s v="COMBER SA"/>
    <x v="5"/>
    <x v="4"/>
    <x v="5"/>
    <x v="2"/>
    <d v="1899-12-30T18:00:00"/>
    <m/>
    <d v="2026-02-04T00:00:00"/>
    <d v="1899-12-30T16:00:00"/>
    <m/>
    <m/>
    <m/>
    <x v="2"/>
  </r>
  <r>
    <n v="7"/>
    <s v="COMBER SA"/>
    <x v="6"/>
    <x v="4"/>
    <x v="6"/>
    <x v="2"/>
    <d v="1899-12-30T18:00:00"/>
    <m/>
    <d v="2026-02-09T00:00:00"/>
    <d v="1899-12-30T08:59:00"/>
    <m/>
    <m/>
    <m/>
    <x v="2"/>
  </r>
  <r>
    <n v="8"/>
    <s v="COMBER SA"/>
    <x v="7"/>
    <x v="5"/>
    <x v="7"/>
    <x v="2"/>
    <d v="1899-12-30T18:00:00"/>
    <m/>
    <d v="2026-02-04T00:00:00"/>
    <d v="1899-12-30T15:18:00"/>
    <m/>
    <m/>
    <m/>
    <x v="2"/>
  </r>
  <r>
    <n v="9"/>
    <s v="COMBER SA"/>
    <x v="8"/>
    <x v="6"/>
    <x v="8"/>
    <x v="3"/>
    <d v="1899-12-30T18:00:00"/>
    <m/>
    <d v="2026-01-05T00:00:00"/>
    <d v="1899-12-30T17:00:00"/>
    <m/>
    <s v="Solicitação de abertura 06/01/2026 13:52 para lançamento de nota 31/12/25 "/>
    <m/>
    <x v="3"/>
  </r>
  <r>
    <n v="1"/>
    <s v="FLORESTAL TO"/>
    <x v="0"/>
    <x v="0"/>
    <x v="0"/>
    <x v="0"/>
    <d v="1899-12-30T18:00:00"/>
    <m/>
    <d v="2026-02-06T00:00:00"/>
    <d v="1899-12-30T15:00:00"/>
    <m/>
    <s v="Não entregue dia 05 devido site da receita estar fora do ar, sem possibilidade de validar e-social. "/>
    <m/>
    <x v="0"/>
  </r>
  <r>
    <n v="2"/>
    <s v="FLORESTAL TO"/>
    <x v="1"/>
    <x v="1"/>
    <x v="1"/>
    <x v="1"/>
    <d v="1899-12-30T18:00:00"/>
    <m/>
    <d v="2026-02-02T00:00:00"/>
    <d v="1899-12-30T18:00:00"/>
    <m/>
    <m/>
    <m/>
    <x v="1"/>
  </r>
  <r>
    <n v="3"/>
    <s v="FLORESTAL TO"/>
    <x v="2"/>
    <x v="2"/>
    <x v="2"/>
    <x v="1"/>
    <d v="1899-12-30T18:00:00"/>
    <m/>
    <d v="2026-02-02T00:00:00"/>
    <d v="1899-12-30T11:00:00"/>
    <m/>
    <m/>
    <m/>
    <x v="1"/>
  </r>
  <r>
    <n v="1"/>
    <s v="FLORESTAL TO"/>
    <x v="0"/>
    <x v="0"/>
    <x v="0"/>
    <x v="0"/>
    <d v="1899-12-30T18:00:00"/>
    <m/>
    <d v="2026-02-06T00:00:00"/>
    <d v="1899-12-30T10:00:00"/>
    <m/>
    <s v="Não entregue dia 05 devido site da receita estar fora do ar, sem possibilidade de validar e-social. "/>
    <m/>
    <x v="0"/>
  </r>
  <r>
    <n v="2"/>
    <s v="FLORESTAL TO"/>
    <x v="1"/>
    <x v="1"/>
    <x v="1"/>
    <x v="1"/>
    <d v="1899-12-30T18:00:00"/>
    <m/>
    <d v="2026-02-02T00:00:00"/>
    <d v="1899-12-30T18:00:00"/>
    <m/>
    <m/>
    <m/>
    <x v="1"/>
  </r>
  <r>
    <n v="3"/>
    <s v="FLORESTAL TO"/>
    <x v="2"/>
    <x v="2"/>
    <x v="2"/>
    <x v="1"/>
    <d v="1899-12-30T18:00:00"/>
    <m/>
    <d v="2026-02-02T00:00:00"/>
    <d v="1899-12-30T17:50:00"/>
    <m/>
    <m/>
    <m/>
    <x v="1"/>
  </r>
  <r>
    <n v="4"/>
    <s v="FLORESTAL TO"/>
    <x v="3"/>
    <x v="3"/>
    <x v="3"/>
    <x v="1"/>
    <d v="1899-12-30T18:00:00"/>
    <m/>
    <d v="2026-02-03T00:00:00"/>
    <d v="1899-12-30T21:25:00"/>
    <m/>
    <m/>
    <m/>
    <x v="1"/>
  </r>
  <r>
    <n v="5"/>
    <s v="FLORESTAL TO"/>
    <x v="4"/>
    <x v="4"/>
    <x v="4"/>
    <x v="2"/>
    <d v="1899-12-30T18:00:00"/>
    <m/>
    <m/>
    <m/>
    <m/>
    <m/>
    <m/>
    <x v="2"/>
  </r>
  <r>
    <n v="6"/>
    <s v="FLORESTAL TO"/>
    <x v="5"/>
    <x v="4"/>
    <x v="9"/>
    <x v="2"/>
    <d v="1899-12-30T18:00:00"/>
    <m/>
    <d v="2026-02-04T00:00:00"/>
    <d v="1899-12-30T16:00:00"/>
    <m/>
    <m/>
    <m/>
    <x v="2"/>
  </r>
  <r>
    <n v="7"/>
    <s v="FLORESTAL TO"/>
    <x v="6"/>
    <x v="4"/>
    <x v="6"/>
    <x v="2"/>
    <d v="1899-12-30T18:00:00"/>
    <m/>
    <d v="2026-02-06T00:00:00"/>
    <d v="1899-12-30T11:42:00"/>
    <m/>
    <m/>
    <m/>
    <x v="2"/>
  </r>
  <r>
    <n v="8"/>
    <s v="FLORESTAL TO"/>
    <x v="7"/>
    <x v="5"/>
    <x v="7"/>
    <x v="2"/>
    <d v="1899-12-30T18:00:00"/>
    <m/>
    <d v="2026-02-04T00:00:00"/>
    <d v="1899-12-30T15:18:00"/>
    <m/>
    <m/>
    <m/>
    <x v="2"/>
  </r>
  <r>
    <n v="9"/>
    <s v="FLORESTAL TO"/>
    <x v="8"/>
    <x v="6"/>
    <x v="8"/>
    <x v="3"/>
    <d v="1899-12-30T18:00:00"/>
    <m/>
    <d v="2026-01-05T00:00:00"/>
    <d v="1899-12-30T15:00:00"/>
    <m/>
    <m/>
    <m/>
    <x v="3"/>
  </r>
  <r>
    <n v="1"/>
    <s v="SEMINOVOS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SEMINOVOS"/>
    <x v="1"/>
    <x v="1"/>
    <x v="1"/>
    <x v="1"/>
    <d v="1899-12-30T18:00:00"/>
    <m/>
    <d v="2026-02-02T00:00:00"/>
    <d v="1899-12-30T18:00:00"/>
    <m/>
    <m/>
    <m/>
    <x v="1"/>
  </r>
  <r>
    <n v="3"/>
    <s v="SEMINOVOS"/>
    <x v="2"/>
    <x v="2"/>
    <x v="2"/>
    <x v="1"/>
    <d v="1899-12-30T18:00:00"/>
    <m/>
    <d v="2026-02-02T00:00:00"/>
    <d v="1899-12-30T17:00:00"/>
    <m/>
    <m/>
    <m/>
    <x v="1"/>
  </r>
  <r>
    <n v="1"/>
    <s v="SEMINOVOS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SEMINOVOS"/>
    <x v="1"/>
    <x v="1"/>
    <x v="1"/>
    <x v="1"/>
    <d v="1899-12-30T18:00:00"/>
    <m/>
    <d v="2026-02-02T00:00:00"/>
    <d v="1899-12-30T18:00:00"/>
    <m/>
    <m/>
    <m/>
    <x v="1"/>
  </r>
  <r>
    <n v="3"/>
    <s v="SEMINOVOS"/>
    <x v="2"/>
    <x v="2"/>
    <x v="2"/>
    <x v="1"/>
    <d v="1899-12-30T18:00:00"/>
    <m/>
    <d v="2026-02-02T00:00:00"/>
    <d v="1899-12-30T17:00:00"/>
    <m/>
    <m/>
    <m/>
    <x v="1"/>
  </r>
  <r>
    <n v="4"/>
    <s v="SEMINOVOS"/>
    <x v="3"/>
    <x v="3"/>
    <x v="3"/>
    <x v="1"/>
    <d v="1899-12-30T18:00:00"/>
    <m/>
    <d v="2026-02-03T00:00:00"/>
    <d v="1899-12-30T21:25:00"/>
    <m/>
    <m/>
    <m/>
    <x v="1"/>
  </r>
  <r>
    <n v="5"/>
    <s v="SEMINOVOS"/>
    <x v="4"/>
    <x v="4"/>
    <x v="4"/>
    <x v="2"/>
    <d v="1899-12-30T18:00:00"/>
    <m/>
    <m/>
    <m/>
    <m/>
    <m/>
    <m/>
    <x v="2"/>
  </r>
  <r>
    <n v="6"/>
    <s v="SEMINOVOS"/>
    <x v="5"/>
    <x v="4"/>
    <x v="9"/>
    <x v="2"/>
    <d v="1899-12-30T18:00:00"/>
    <m/>
    <d v="2026-02-04T00:00:00"/>
    <d v="1899-12-30T16:00:00"/>
    <m/>
    <m/>
    <m/>
    <x v="2"/>
  </r>
  <r>
    <n v="7"/>
    <s v="SEMINOVOS"/>
    <x v="6"/>
    <x v="4"/>
    <x v="6"/>
    <x v="2"/>
    <d v="1899-12-30T18:00:00"/>
    <m/>
    <d v="2026-02-06T00:00:00"/>
    <d v="1899-12-30T12:46:00"/>
    <m/>
    <m/>
    <m/>
    <x v="2"/>
  </r>
  <r>
    <n v="8"/>
    <s v="SEMINOVOS"/>
    <x v="7"/>
    <x v="5"/>
    <x v="7"/>
    <x v="2"/>
    <d v="1899-12-30T18:00:00"/>
    <m/>
    <d v="2026-02-04T00:00:00"/>
    <d v="1899-12-30T15:18:00"/>
    <m/>
    <m/>
    <m/>
    <x v="2"/>
  </r>
  <r>
    <n v="9"/>
    <s v="SEMINOVOS"/>
    <x v="8"/>
    <x v="6"/>
    <x v="8"/>
    <x v="3"/>
    <d v="1899-12-30T18:00:00"/>
    <m/>
    <d v="2026-01-05T00:00:00"/>
    <d v="1899-12-30T12:00:00"/>
    <m/>
    <s v="Solicitação de cancelamento nota 05/01/2026 17:20"/>
    <m/>
    <x v="3"/>
  </r>
  <r>
    <n v="1"/>
    <s v="CAMINHÕES MT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CAMINHÕES MT"/>
    <x v="1"/>
    <x v="1"/>
    <x v="1"/>
    <x v="1"/>
    <d v="1899-12-30T18:00:00"/>
    <m/>
    <d v="2026-02-02T00:00:00"/>
    <d v="1899-12-30T18:00:00"/>
    <m/>
    <m/>
    <m/>
    <x v="1"/>
  </r>
  <r>
    <n v="3"/>
    <s v="CAMINHÕES MT"/>
    <x v="2"/>
    <x v="2"/>
    <x v="2"/>
    <x v="1"/>
    <d v="1899-12-30T18:00:00"/>
    <m/>
    <d v="2026-02-02T00:00:00"/>
    <d v="1899-12-30T17:00:00"/>
    <m/>
    <m/>
    <m/>
    <x v="1"/>
  </r>
  <r>
    <n v="1"/>
    <s v="CAMINHÕES MT"/>
    <x v="0"/>
    <x v="0"/>
    <x v="0"/>
    <x v="0"/>
    <d v="1899-12-30T18:00:00"/>
    <m/>
    <d v="2026-02-06T00:00:00"/>
    <d v="1899-12-30T16:00:00"/>
    <m/>
    <s v="Não entregue dia 05 devido site da receita estar fora do ar, sem possibilidade de validar e-social. "/>
    <m/>
    <x v="0"/>
  </r>
  <r>
    <n v="2"/>
    <s v="CAMINHÕES MT"/>
    <x v="1"/>
    <x v="1"/>
    <x v="1"/>
    <x v="1"/>
    <d v="1899-12-30T18:00:00"/>
    <m/>
    <d v="2026-02-02T00:00:00"/>
    <d v="1899-12-30T18:00:00"/>
    <m/>
    <m/>
    <m/>
    <x v="1"/>
  </r>
  <r>
    <n v="3"/>
    <s v="CAMINHÕES MT"/>
    <x v="2"/>
    <x v="2"/>
    <x v="2"/>
    <x v="1"/>
    <d v="1899-12-30T18:00:00"/>
    <m/>
    <d v="2026-02-02T00:00:00"/>
    <d v="1899-12-30T17:00:00"/>
    <m/>
    <m/>
    <m/>
    <x v="1"/>
  </r>
  <r>
    <n v="4"/>
    <s v="CAMINHÕES MT"/>
    <x v="3"/>
    <x v="3"/>
    <x v="3"/>
    <x v="1"/>
    <d v="1899-12-30T18:00:00"/>
    <m/>
    <d v="2026-02-03T00:00:00"/>
    <d v="1899-12-30T21:25:00"/>
    <m/>
    <m/>
    <m/>
    <x v="1"/>
  </r>
  <r>
    <n v="5"/>
    <s v="CAMINHÕES MT"/>
    <x v="4"/>
    <x v="4"/>
    <x v="4"/>
    <x v="2"/>
    <d v="1899-12-30T18:00:00"/>
    <m/>
    <m/>
    <m/>
    <m/>
    <m/>
    <m/>
    <x v="2"/>
  </r>
  <r>
    <n v="6"/>
    <s v="CAMINHÕES MT"/>
    <x v="5"/>
    <x v="4"/>
    <x v="5"/>
    <x v="2"/>
    <d v="1899-12-30T18:00:00"/>
    <m/>
    <d v="2026-02-04T00:00:00"/>
    <d v="1899-12-30T16:00:00"/>
    <m/>
    <m/>
    <m/>
    <x v="2"/>
  </r>
  <r>
    <n v="7"/>
    <s v="CAMINHÕES MT"/>
    <x v="6"/>
    <x v="4"/>
    <x v="6"/>
    <x v="2"/>
    <d v="1899-12-30T18:00:00"/>
    <m/>
    <d v="2026-02-06T00:00:00"/>
    <d v="1899-12-30T12:29:00"/>
    <m/>
    <m/>
    <m/>
    <x v="2"/>
  </r>
  <r>
    <n v="8"/>
    <s v="CAMINHÕES MT"/>
    <x v="7"/>
    <x v="5"/>
    <x v="7"/>
    <x v="2"/>
    <d v="1899-12-30T18:00:00"/>
    <m/>
    <d v="2026-02-04T00:00:00"/>
    <d v="1899-12-30T15:18:00"/>
    <m/>
    <m/>
    <m/>
    <x v="2"/>
  </r>
  <r>
    <n v="9"/>
    <s v="CAMINHÕES MT"/>
    <x v="8"/>
    <x v="6"/>
    <x v="8"/>
    <x v="3"/>
    <d v="1899-12-30T18:00:00"/>
    <m/>
    <d v="2026-01-05T00:00:00"/>
    <d v="1899-12-30T11:00:00"/>
    <m/>
    <m/>
    <m/>
    <x v="3"/>
  </r>
  <r>
    <n v="9"/>
    <s v="LOGISTICA"/>
    <x v="9"/>
    <x v="7"/>
    <x v="10"/>
    <x v="4"/>
    <d v="1899-12-30T18:00:00"/>
    <m/>
    <m/>
    <m/>
    <m/>
    <m/>
    <m/>
    <x v="4"/>
  </r>
  <r>
    <n v="9"/>
    <s v="BIOMASSA"/>
    <x v="9"/>
    <x v="7"/>
    <x v="10"/>
    <x v="4"/>
    <d v="1899-12-30T18:00:00"/>
    <m/>
    <m/>
    <m/>
    <m/>
    <m/>
    <m/>
    <x v="4"/>
  </r>
  <r>
    <n v="9"/>
    <s v="COMBER SA"/>
    <x v="9"/>
    <x v="7"/>
    <x v="10"/>
    <x v="4"/>
    <d v="1899-12-30T18:00:00"/>
    <m/>
    <m/>
    <m/>
    <m/>
    <m/>
    <m/>
    <x v="4"/>
  </r>
  <r>
    <n v="9"/>
    <s v="FLORESTAL TO"/>
    <x v="9"/>
    <x v="7"/>
    <x v="10"/>
    <x v="4"/>
    <d v="1899-12-30T18:00:00"/>
    <m/>
    <m/>
    <m/>
    <m/>
    <m/>
    <m/>
    <x v="4"/>
  </r>
  <r>
    <n v="9"/>
    <s v="SEMINOVOS"/>
    <x v="9"/>
    <x v="7"/>
    <x v="10"/>
    <x v="4"/>
    <d v="1899-12-30T18:00:00"/>
    <m/>
    <d v="2026-01-12T00:00:00"/>
    <d v="1899-12-30T09:30:00"/>
    <m/>
    <m/>
    <m/>
    <x v="4"/>
  </r>
  <r>
    <n v="9"/>
    <s v="CAMINHÕES MT"/>
    <x v="9"/>
    <x v="7"/>
    <x v="10"/>
    <x v="4"/>
    <d v="1899-12-30T18:00:00"/>
    <m/>
    <m/>
    <m/>
    <m/>
    <m/>
    <m/>
    <x v="4"/>
  </r>
  <r>
    <n v="9"/>
    <s v="LOGISTICA"/>
    <x v="10"/>
    <x v="7"/>
    <x v="10"/>
    <x v="5"/>
    <d v="1899-12-30T18:00:00"/>
    <m/>
    <m/>
    <m/>
    <m/>
    <m/>
    <m/>
    <x v="5"/>
  </r>
  <r>
    <n v="9"/>
    <s v="BIOMASSA"/>
    <x v="10"/>
    <x v="7"/>
    <x v="10"/>
    <x v="5"/>
    <d v="1899-12-30T18:00:00"/>
    <m/>
    <m/>
    <m/>
    <m/>
    <m/>
    <m/>
    <x v="5"/>
  </r>
  <r>
    <n v="9"/>
    <s v="COMBER SA"/>
    <x v="10"/>
    <x v="7"/>
    <x v="10"/>
    <x v="5"/>
    <d v="1899-12-30T18:00:00"/>
    <m/>
    <m/>
    <m/>
    <m/>
    <m/>
    <m/>
    <x v="5"/>
  </r>
  <r>
    <n v="9"/>
    <s v="FLORESTAL TO"/>
    <x v="10"/>
    <x v="7"/>
    <x v="10"/>
    <x v="5"/>
    <d v="1899-12-30T18:00:00"/>
    <m/>
    <m/>
    <m/>
    <m/>
    <m/>
    <m/>
    <x v="5"/>
  </r>
  <r>
    <n v="9"/>
    <s v="SEMINOVOS"/>
    <x v="10"/>
    <x v="7"/>
    <x v="10"/>
    <x v="5"/>
    <d v="1899-12-30T18:00:00"/>
    <m/>
    <m/>
    <m/>
    <m/>
    <m/>
    <m/>
    <x v="5"/>
  </r>
  <r>
    <n v="9"/>
    <s v="CAMINHÕES MT"/>
    <x v="10"/>
    <x v="7"/>
    <x v="10"/>
    <x v="5"/>
    <d v="1899-12-30T18:00:00"/>
    <m/>
    <m/>
    <m/>
    <m/>
    <m/>
    <m/>
    <x v="5"/>
  </r>
  <r>
    <n v="1"/>
    <s v="LOCAÇÕES"/>
    <x v="1"/>
    <x v="1"/>
    <x v="1"/>
    <x v="1"/>
    <d v="1899-12-30T18:00:00"/>
    <m/>
    <d v="2026-02-02T00:00:00"/>
    <d v="1899-12-30T18:00:00"/>
    <m/>
    <m/>
    <m/>
    <x v="1"/>
  </r>
  <r>
    <n v="2"/>
    <s v="LOCAÇÕES"/>
    <x v="2"/>
    <x v="2"/>
    <x v="2"/>
    <x v="1"/>
    <d v="1899-12-30T18:00:00"/>
    <m/>
    <d v="2026-02-02T00:00:00"/>
    <d v="1899-12-30T17:00:00"/>
    <m/>
    <m/>
    <m/>
    <x v="1"/>
  </r>
  <r>
    <n v="3"/>
    <s v="LOCAÇÕES"/>
    <x v="3"/>
    <x v="3"/>
    <x v="3"/>
    <x v="1"/>
    <d v="1899-12-30T18:00:00"/>
    <m/>
    <d v="2026-02-03T00:00:00"/>
    <d v="1899-12-30T21:25:00"/>
    <m/>
    <m/>
    <m/>
    <x v="1"/>
  </r>
  <r>
    <n v="4"/>
    <s v="LOCAÇÕES"/>
    <x v="4"/>
    <x v="4"/>
    <x v="4"/>
    <x v="2"/>
    <d v="1899-12-30T18:00:00"/>
    <m/>
    <m/>
    <m/>
    <m/>
    <m/>
    <m/>
    <x v="2"/>
  </r>
  <r>
    <n v="5"/>
    <s v="LOCAÇÕES"/>
    <x v="5"/>
    <x v="4"/>
    <x v="11"/>
    <x v="2"/>
    <d v="1899-12-30T18:00:00"/>
    <m/>
    <m/>
    <m/>
    <m/>
    <m/>
    <m/>
    <x v="2"/>
  </r>
  <r>
    <n v="6"/>
    <s v="LOCAÇÕES"/>
    <x v="6"/>
    <x v="4"/>
    <x v="6"/>
    <x v="2"/>
    <d v="1899-12-30T18:00:00"/>
    <m/>
    <d v="2026-02-06T00:00:00"/>
    <d v="1899-12-30T11:15:00"/>
    <m/>
    <m/>
    <m/>
    <x v="2"/>
  </r>
  <r>
    <n v="7"/>
    <s v="LOCAÇÕES"/>
    <x v="7"/>
    <x v="5"/>
    <x v="7"/>
    <x v="2"/>
    <d v="1899-12-30T18:00:00"/>
    <m/>
    <d v="2026-02-04T00:00:00"/>
    <d v="1899-12-30T15:18:00"/>
    <m/>
    <m/>
    <m/>
    <x v="2"/>
  </r>
  <r>
    <n v="8"/>
    <s v="LOCAÇÕES"/>
    <x v="8"/>
    <x v="6"/>
    <x v="8"/>
    <x v="3"/>
    <d v="1899-12-30T18:00:00"/>
    <m/>
    <d v="2026-01-05T00:00:00"/>
    <d v="1899-12-30T10:00:00"/>
    <m/>
    <m/>
    <m/>
    <x v="3"/>
  </r>
  <r>
    <n v="7"/>
    <s v="IFL PATRIMONIAL"/>
    <x v="6"/>
    <x v="4"/>
    <x v="6"/>
    <x v="2"/>
    <d v="1899-12-30T18:00:00"/>
    <m/>
    <m/>
    <m/>
    <m/>
    <m/>
    <m/>
    <x v="2"/>
  </r>
  <r>
    <n v="7"/>
    <s v="IFL PARTICIPAÇÕES"/>
    <x v="6"/>
    <x v="4"/>
    <x v="6"/>
    <x v="2"/>
    <d v="1899-12-30T18:00:00"/>
    <m/>
    <m/>
    <m/>
    <m/>
    <m/>
    <m/>
    <x v="2"/>
  </r>
  <r>
    <n v="7"/>
    <s v="FT4 COMELLI HOLDING"/>
    <x v="6"/>
    <x v="4"/>
    <x v="6"/>
    <x v="2"/>
    <d v="1899-12-30T18:00:00"/>
    <m/>
    <m/>
    <m/>
    <m/>
    <m/>
    <m/>
    <x v="2"/>
  </r>
  <r>
    <n v="7"/>
    <s v="LC COMELLI HOLDING"/>
    <x v="6"/>
    <x v="4"/>
    <x v="6"/>
    <x v="2"/>
    <d v="1899-12-30T18:00:00"/>
    <m/>
    <m/>
    <m/>
    <m/>
    <m/>
    <m/>
    <x v="2"/>
  </r>
  <r>
    <n v="7"/>
    <s v="COMELLI PARTICIPAÇÕES"/>
    <x v="6"/>
    <x v="4"/>
    <x v="6"/>
    <x v="2"/>
    <d v="1899-12-30T18:00:00"/>
    <m/>
    <m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1"/>
    <s v="LOGISTICA"/>
    <x v="0"/>
    <x v="0"/>
    <x v="0"/>
    <x v="0"/>
    <d v="1899-12-30T18:00:00"/>
    <m/>
    <x v="0"/>
  </r>
  <r>
    <n v="2"/>
    <s v="LOGISTICA"/>
    <x v="1"/>
    <x v="1"/>
    <x v="1"/>
    <x v="1"/>
    <d v="1899-12-30T18:00:00"/>
    <m/>
    <x v="0"/>
  </r>
  <r>
    <n v="3"/>
    <s v="LOGISTICA"/>
    <x v="2"/>
    <x v="2"/>
    <x v="2"/>
    <x v="1"/>
    <d v="1899-12-30T18:00:00"/>
    <m/>
    <x v="0"/>
  </r>
  <r>
    <n v="1"/>
    <s v="LOGISTICA"/>
    <x v="0"/>
    <x v="0"/>
    <x v="0"/>
    <x v="0"/>
    <d v="1899-12-30T18:00:00"/>
    <m/>
    <x v="0"/>
  </r>
  <r>
    <n v="2"/>
    <s v="LOGISTICA"/>
    <x v="1"/>
    <x v="1"/>
    <x v="1"/>
    <x v="1"/>
    <d v="1899-12-30T18:00:00"/>
    <m/>
    <x v="0"/>
  </r>
  <r>
    <n v="3"/>
    <s v="LOGISTICA"/>
    <x v="2"/>
    <x v="2"/>
    <x v="2"/>
    <x v="1"/>
    <d v="1899-12-30T18:00:00"/>
    <m/>
    <x v="0"/>
  </r>
  <r>
    <n v="4"/>
    <s v="LOGISTICA"/>
    <x v="3"/>
    <x v="3"/>
    <x v="3"/>
    <x v="1"/>
    <d v="1899-12-30T18:00:00"/>
    <m/>
    <x v="0"/>
  </r>
  <r>
    <n v="5"/>
    <s v="LOGISTICA"/>
    <x v="4"/>
    <x v="4"/>
    <x v="4"/>
    <x v="2"/>
    <d v="1899-12-30T18:00:00"/>
    <m/>
    <x v="0"/>
  </r>
  <r>
    <n v="6"/>
    <s v="LOGISTICA"/>
    <x v="5"/>
    <x v="4"/>
    <x v="5"/>
    <x v="2"/>
    <d v="1899-12-30T18:00:00"/>
    <m/>
    <x v="0"/>
  </r>
  <r>
    <n v="7"/>
    <s v="LOGISTICA"/>
    <x v="6"/>
    <x v="4"/>
    <x v="6"/>
    <x v="2"/>
    <d v="1899-12-30T18:00:00"/>
    <m/>
    <x v="0"/>
  </r>
  <r>
    <n v="8"/>
    <s v="LOGISTICA"/>
    <x v="7"/>
    <x v="5"/>
    <x v="7"/>
    <x v="2"/>
    <d v="1899-12-30T18:00:00"/>
    <m/>
    <x v="1"/>
  </r>
  <r>
    <n v="9"/>
    <s v="LOGISTICA"/>
    <x v="8"/>
    <x v="6"/>
    <x v="8"/>
    <x v="3"/>
    <d v="1899-12-30T18:00:00"/>
    <m/>
    <x v="0"/>
  </r>
  <r>
    <n v="1"/>
    <s v="BIOMASSA"/>
    <x v="0"/>
    <x v="0"/>
    <x v="0"/>
    <x v="0"/>
    <d v="1899-12-30T18:00:00"/>
    <m/>
    <x v="0"/>
  </r>
  <r>
    <n v="2"/>
    <s v="BIOMASSA"/>
    <x v="1"/>
    <x v="1"/>
    <x v="1"/>
    <x v="1"/>
    <d v="1899-12-30T18:00:00"/>
    <m/>
    <x v="0"/>
  </r>
  <r>
    <n v="3"/>
    <s v="BIOMASSA"/>
    <x v="2"/>
    <x v="2"/>
    <x v="2"/>
    <x v="1"/>
    <d v="1899-12-30T18:00:00"/>
    <m/>
    <x v="0"/>
  </r>
  <r>
    <n v="1"/>
    <s v="BIOMASSA"/>
    <x v="0"/>
    <x v="0"/>
    <x v="0"/>
    <x v="0"/>
    <d v="1899-12-30T18:00:00"/>
    <m/>
    <x v="0"/>
  </r>
  <r>
    <n v="2"/>
    <s v="BIOMASSA"/>
    <x v="1"/>
    <x v="1"/>
    <x v="1"/>
    <x v="1"/>
    <d v="1899-12-30T18:00:00"/>
    <m/>
    <x v="0"/>
  </r>
  <r>
    <n v="3"/>
    <s v="BIOMASSA"/>
    <x v="2"/>
    <x v="2"/>
    <x v="2"/>
    <x v="1"/>
    <d v="1899-12-30T18:00:00"/>
    <m/>
    <x v="0"/>
  </r>
  <r>
    <n v="4"/>
    <s v="BIOMASSA"/>
    <x v="3"/>
    <x v="3"/>
    <x v="3"/>
    <x v="1"/>
    <d v="1899-12-30T18:00:00"/>
    <m/>
    <x v="0"/>
  </r>
  <r>
    <n v="5"/>
    <s v="BIOMASSA"/>
    <x v="4"/>
    <x v="4"/>
    <x v="4"/>
    <x v="2"/>
    <d v="1899-12-30T18:00:00"/>
    <m/>
    <x v="0"/>
  </r>
  <r>
    <n v="6"/>
    <s v="BIOMASSA"/>
    <x v="5"/>
    <x v="4"/>
    <x v="5"/>
    <x v="2"/>
    <d v="1899-12-30T18:00:00"/>
    <m/>
    <x v="2"/>
  </r>
  <r>
    <n v="7"/>
    <s v="BIOMASSA"/>
    <x v="6"/>
    <x v="4"/>
    <x v="6"/>
    <x v="2"/>
    <d v="1899-12-30T18:00:00"/>
    <m/>
    <x v="0"/>
  </r>
  <r>
    <n v="8"/>
    <s v="BIOMASSA"/>
    <x v="7"/>
    <x v="5"/>
    <x v="7"/>
    <x v="2"/>
    <d v="1899-12-30T18:00:00"/>
    <m/>
    <x v="1"/>
  </r>
  <r>
    <n v="9"/>
    <s v="BIOMASSA"/>
    <x v="8"/>
    <x v="6"/>
    <x v="8"/>
    <x v="3"/>
    <d v="1899-12-30T18:00:00"/>
    <m/>
    <x v="0"/>
  </r>
  <r>
    <n v="1"/>
    <s v="COMBER SA"/>
    <x v="0"/>
    <x v="0"/>
    <x v="0"/>
    <x v="0"/>
    <d v="1899-12-30T18:00:00"/>
    <m/>
    <x v="0"/>
  </r>
  <r>
    <n v="2"/>
    <s v="COMBER SA"/>
    <x v="1"/>
    <x v="1"/>
    <x v="1"/>
    <x v="1"/>
    <d v="1899-12-30T18:00:00"/>
    <m/>
    <x v="0"/>
  </r>
  <r>
    <n v="3"/>
    <s v="COMBER SA"/>
    <x v="2"/>
    <x v="2"/>
    <x v="2"/>
    <x v="1"/>
    <d v="1899-12-30T18:00:00"/>
    <m/>
    <x v="0"/>
  </r>
  <r>
    <n v="1"/>
    <s v="COMBER SA"/>
    <x v="0"/>
    <x v="0"/>
    <x v="0"/>
    <x v="0"/>
    <d v="1899-12-30T18:00:00"/>
    <m/>
    <x v="0"/>
  </r>
  <r>
    <n v="2"/>
    <s v="COMBER SA"/>
    <x v="1"/>
    <x v="1"/>
    <x v="1"/>
    <x v="1"/>
    <d v="1899-12-30T18:00:00"/>
    <m/>
    <x v="0"/>
  </r>
  <r>
    <n v="3"/>
    <s v="COMBER SA"/>
    <x v="2"/>
    <x v="2"/>
    <x v="2"/>
    <x v="1"/>
    <d v="1899-12-30T18:00:00"/>
    <m/>
    <x v="0"/>
  </r>
  <r>
    <n v="4"/>
    <s v="COMBER SA"/>
    <x v="3"/>
    <x v="3"/>
    <x v="3"/>
    <x v="1"/>
    <d v="1899-12-30T18:00:00"/>
    <m/>
    <x v="0"/>
  </r>
  <r>
    <n v="5"/>
    <s v="COMBER SA"/>
    <x v="4"/>
    <x v="4"/>
    <x v="4"/>
    <x v="2"/>
    <d v="1899-12-30T18:00:00"/>
    <m/>
    <x v="0"/>
  </r>
  <r>
    <n v="6"/>
    <s v="COMBER SA"/>
    <x v="5"/>
    <x v="4"/>
    <x v="5"/>
    <x v="2"/>
    <d v="1899-12-30T18:00:00"/>
    <m/>
    <x v="0"/>
  </r>
  <r>
    <n v="7"/>
    <s v="COMBER SA"/>
    <x v="6"/>
    <x v="4"/>
    <x v="6"/>
    <x v="2"/>
    <d v="1899-12-30T18:00:00"/>
    <m/>
    <x v="0"/>
  </r>
  <r>
    <n v="8"/>
    <s v="COMBER SA"/>
    <x v="7"/>
    <x v="5"/>
    <x v="7"/>
    <x v="2"/>
    <d v="1899-12-30T18:00:00"/>
    <m/>
    <x v="1"/>
  </r>
  <r>
    <n v="9"/>
    <s v="COMBER SA"/>
    <x v="8"/>
    <x v="6"/>
    <x v="8"/>
    <x v="3"/>
    <d v="1899-12-30T18:00:00"/>
    <m/>
    <x v="0"/>
  </r>
  <r>
    <n v="1"/>
    <s v="FLORESTAL TO"/>
    <x v="0"/>
    <x v="0"/>
    <x v="0"/>
    <x v="0"/>
    <d v="1899-12-30T18:00:00"/>
    <m/>
    <x v="0"/>
  </r>
  <r>
    <n v="2"/>
    <s v="FLORESTAL TO"/>
    <x v="1"/>
    <x v="1"/>
    <x v="1"/>
    <x v="1"/>
    <d v="1899-12-30T18:00:00"/>
    <m/>
    <x v="0"/>
  </r>
  <r>
    <n v="3"/>
    <s v="FLORESTAL TO"/>
    <x v="2"/>
    <x v="2"/>
    <x v="2"/>
    <x v="1"/>
    <d v="1899-12-30T18:00:00"/>
    <m/>
    <x v="0"/>
  </r>
  <r>
    <n v="1"/>
    <s v="FLORESTAL TO"/>
    <x v="0"/>
    <x v="0"/>
    <x v="0"/>
    <x v="0"/>
    <d v="1899-12-30T18:00:00"/>
    <m/>
    <x v="0"/>
  </r>
  <r>
    <n v="2"/>
    <s v="FLORESTAL TO"/>
    <x v="1"/>
    <x v="1"/>
    <x v="1"/>
    <x v="1"/>
    <d v="1899-12-30T18:00:00"/>
    <m/>
    <x v="0"/>
  </r>
  <r>
    <n v="3"/>
    <s v="FLORESTAL TO"/>
    <x v="2"/>
    <x v="2"/>
    <x v="2"/>
    <x v="1"/>
    <d v="1899-12-30T18:00:00"/>
    <m/>
    <x v="0"/>
  </r>
  <r>
    <n v="4"/>
    <s v="FLORESTAL TO"/>
    <x v="3"/>
    <x v="3"/>
    <x v="3"/>
    <x v="1"/>
    <d v="1899-12-30T18:00:00"/>
    <m/>
    <x v="0"/>
  </r>
  <r>
    <n v="5"/>
    <s v="FLORESTAL TO"/>
    <x v="4"/>
    <x v="4"/>
    <x v="4"/>
    <x v="2"/>
    <d v="1899-12-30T18:00:00"/>
    <m/>
    <x v="0"/>
  </r>
  <r>
    <n v="6"/>
    <s v="FLORESTAL TO"/>
    <x v="5"/>
    <x v="4"/>
    <x v="5"/>
    <x v="2"/>
    <d v="1899-12-30T18:00:00"/>
    <m/>
    <x v="0"/>
  </r>
  <r>
    <n v="7"/>
    <s v="FLORESTAL TO"/>
    <x v="6"/>
    <x v="4"/>
    <x v="6"/>
    <x v="2"/>
    <d v="1899-12-30T18:00:00"/>
    <m/>
    <x v="0"/>
  </r>
  <r>
    <n v="8"/>
    <s v="FLORESTAL TO"/>
    <x v="7"/>
    <x v="5"/>
    <x v="7"/>
    <x v="2"/>
    <d v="1899-12-30T18:00:00"/>
    <m/>
    <x v="1"/>
  </r>
  <r>
    <n v="9"/>
    <s v="FLORESTAL TO"/>
    <x v="8"/>
    <x v="6"/>
    <x v="8"/>
    <x v="3"/>
    <d v="1899-12-30T18:00:00"/>
    <m/>
    <x v="0"/>
  </r>
  <r>
    <n v="1"/>
    <s v="SEMINOVOS"/>
    <x v="0"/>
    <x v="0"/>
    <x v="0"/>
    <x v="0"/>
    <d v="1899-12-30T18:00:00"/>
    <m/>
    <x v="0"/>
  </r>
  <r>
    <n v="2"/>
    <s v="SEMINOVOS"/>
    <x v="1"/>
    <x v="1"/>
    <x v="1"/>
    <x v="1"/>
    <d v="1899-12-30T18:00:00"/>
    <m/>
    <x v="0"/>
  </r>
  <r>
    <n v="3"/>
    <s v="SEMINOVOS"/>
    <x v="2"/>
    <x v="2"/>
    <x v="2"/>
    <x v="1"/>
    <d v="1899-12-30T18:00:00"/>
    <m/>
    <x v="0"/>
  </r>
  <r>
    <n v="1"/>
    <s v="SEMINOVOS"/>
    <x v="0"/>
    <x v="0"/>
    <x v="0"/>
    <x v="0"/>
    <d v="1899-12-30T18:00:00"/>
    <m/>
    <x v="0"/>
  </r>
  <r>
    <n v="2"/>
    <s v="SEMINOVOS"/>
    <x v="1"/>
    <x v="1"/>
    <x v="1"/>
    <x v="1"/>
    <d v="1899-12-30T18:00:00"/>
    <m/>
    <x v="0"/>
  </r>
  <r>
    <n v="3"/>
    <s v="SEMINOVOS"/>
    <x v="2"/>
    <x v="2"/>
    <x v="2"/>
    <x v="1"/>
    <d v="1899-12-30T18:00:00"/>
    <m/>
    <x v="0"/>
  </r>
  <r>
    <n v="4"/>
    <s v="SEMINOVOS"/>
    <x v="3"/>
    <x v="3"/>
    <x v="3"/>
    <x v="1"/>
    <d v="1899-12-30T18:00:00"/>
    <m/>
    <x v="0"/>
  </r>
  <r>
    <n v="5"/>
    <s v="SEMINOVOS"/>
    <x v="4"/>
    <x v="4"/>
    <x v="4"/>
    <x v="2"/>
    <d v="1899-12-30T18:00:00"/>
    <m/>
    <x v="0"/>
  </r>
  <r>
    <n v="6"/>
    <s v="SEMINOVOS"/>
    <x v="5"/>
    <x v="4"/>
    <x v="5"/>
    <x v="2"/>
    <d v="1899-12-30T18:00:00"/>
    <m/>
    <x v="0"/>
  </r>
  <r>
    <n v="7"/>
    <s v="SEMINOVOS"/>
    <x v="6"/>
    <x v="4"/>
    <x v="6"/>
    <x v="2"/>
    <d v="1899-12-30T18:00:00"/>
    <m/>
    <x v="0"/>
  </r>
  <r>
    <n v="8"/>
    <s v="SEMINOVOS"/>
    <x v="7"/>
    <x v="5"/>
    <x v="7"/>
    <x v="2"/>
    <d v="1899-12-30T18:00:00"/>
    <m/>
    <x v="1"/>
  </r>
  <r>
    <n v="9"/>
    <s v="SEMINOVOS"/>
    <x v="8"/>
    <x v="6"/>
    <x v="8"/>
    <x v="3"/>
    <d v="1899-12-30T18:00:00"/>
    <m/>
    <x v="0"/>
  </r>
  <r>
    <n v="1"/>
    <s v="CAMINHÕES MT"/>
    <x v="0"/>
    <x v="0"/>
    <x v="0"/>
    <x v="0"/>
    <d v="1899-12-30T18:00:00"/>
    <m/>
    <x v="0"/>
  </r>
  <r>
    <n v="2"/>
    <s v="CAMINHÕES MT"/>
    <x v="1"/>
    <x v="1"/>
    <x v="1"/>
    <x v="1"/>
    <d v="1899-12-30T18:00:00"/>
    <m/>
    <x v="0"/>
  </r>
  <r>
    <n v="3"/>
    <s v="CAMINHÕES MT"/>
    <x v="2"/>
    <x v="2"/>
    <x v="2"/>
    <x v="1"/>
    <d v="1899-12-30T18:00:00"/>
    <m/>
    <x v="0"/>
  </r>
  <r>
    <n v="1"/>
    <s v="CAMINHÕES MT"/>
    <x v="0"/>
    <x v="0"/>
    <x v="0"/>
    <x v="0"/>
    <d v="1899-12-30T18:00:00"/>
    <m/>
    <x v="0"/>
  </r>
  <r>
    <n v="2"/>
    <s v="CAMINHÕES MT"/>
    <x v="1"/>
    <x v="1"/>
    <x v="1"/>
    <x v="1"/>
    <d v="1899-12-30T18:00:00"/>
    <m/>
    <x v="0"/>
  </r>
  <r>
    <n v="3"/>
    <s v="CAMINHÕES MT"/>
    <x v="2"/>
    <x v="2"/>
    <x v="2"/>
    <x v="1"/>
    <d v="1899-12-30T18:00:00"/>
    <m/>
    <x v="0"/>
  </r>
  <r>
    <n v="4"/>
    <s v="CAMINHÕES MT"/>
    <x v="3"/>
    <x v="3"/>
    <x v="3"/>
    <x v="1"/>
    <d v="1899-12-30T18:00:00"/>
    <m/>
    <x v="0"/>
  </r>
  <r>
    <n v="5"/>
    <s v="CAMINHÕES MT"/>
    <x v="4"/>
    <x v="4"/>
    <x v="4"/>
    <x v="2"/>
    <d v="1899-12-30T18:00:00"/>
    <m/>
    <x v="0"/>
  </r>
  <r>
    <n v="6"/>
    <s v="CAMINHÕES MT"/>
    <x v="5"/>
    <x v="4"/>
    <x v="5"/>
    <x v="2"/>
    <d v="1899-12-30T18:00:00"/>
    <m/>
    <x v="0"/>
  </r>
  <r>
    <n v="7"/>
    <s v="CAMINHÕES MT"/>
    <x v="6"/>
    <x v="4"/>
    <x v="6"/>
    <x v="2"/>
    <d v="1899-12-30T18:00:00"/>
    <m/>
    <x v="0"/>
  </r>
  <r>
    <n v="8"/>
    <s v="CAMINHÕES MT"/>
    <x v="7"/>
    <x v="5"/>
    <x v="7"/>
    <x v="2"/>
    <d v="1899-12-30T18:00:00"/>
    <m/>
    <x v="3"/>
  </r>
  <r>
    <n v="9"/>
    <s v="CAMINHÕES MT"/>
    <x v="8"/>
    <x v="6"/>
    <x v="8"/>
    <x v="3"/>
    <d v="1899-12-30T18:00:00"/>
    <m/>
    <x v="0"/>
  </r>
  <r>
    <n v="9"/>
    <s v="LOGISTICA"/>
    <x v="9"/>
    <x v="7"/>
    <x v="9"/>
    <x v="4"/>
    <d v="1899-12-30T18:00:00"/>
    <m/>
    <x v="0"/>
  </r>
  <r>
    <n v="9"/>
    <s v="BIOMASSA"/>
    <x v="9"/>
    <x v="7"/>
    <x v="9"/>
    <x v="4"/>
    <d v="1899-12-30T18:00:00"/>
    <m/>
    <x v="0"/>
  </r>
  <r>
    <n v="9"/>
    <s v="COMBER SA"/>
    <x v="9"/>
    <x v="7"/>
    <x v="9"/>
    <x v="4"/>
    <d v="1899-12-30T18:00:00"/>
    <m/>
    <x v="0"/>
  </r>
  <r>
    <n v="9"/>
    <s v="FLORESTAL TO"/>
    <x v="9"/>
    <x v="7"/>
    <x v="9"/>
    <x v="4"/>
    <d v="1899-12-30T18:00:00"/>
    <m/>
    <x v="0"/>
  </r>
  <r>
    <n v="9"/>
    <s v="SEMINOVOS"/>
    <x v="9"/>
    <x v="7"/>
    <x v="9"/>
    <x v="4"/>
    <d v="1899-12-30T18:00:00"/>
    <m/>
    <x v="0"/>
  </r>
  <r>
    <n v="9"/>
    <s v="CAMINHÕES MT"/>
    <x v="9"/>
    <x v="7"/>
    <x v="9"/>
    <x v="4"/>
    <d v="1899-12-30T18:00:00"/>
    <m/>
    <x v="0"/>
  </r>
  <r>
    <n v="9"/>
    <s v="LOGISTICA"/>
    <x v="10"/>
    <x v="7"/>
    <x v="9"/>
    <x v="5"/>
    <d v="1899-12-30T18:00:00"/>
    <m/>
    <x v="0"/>
  </r>
  <r>
    <n v="9"/>
    <s v="BIOMASSA"/>
    <x v="10"/>
    <x v="7"/>
    <x v="9"/>
    <x v="5"/>
    <d v="1899-12-30T18:00:00"/>
    <m/>
    <x v="0"/>
  </r>
  <r>
    <n v="9"/>
    <s v="COMBER SA"/>
    <x v="10"/>
    <x v="7"/>
    <x v="9"/>
    <x v="5"/>
    <d v="1899-12-30T18:00:00"/>
    <m/>
    <x v="0"/>
  </r>
  <r>
    <n v="9"/>
    <s v="FLORESTAL TO"/>
    <x v="10"/>
    <x v="7"/>
    <x v="9"/>
    <x v="5"/>
    <d v="1899-12-30T18:00:00"/>
    <m/>
    <x v="0"/>
  </r>
  <r>
    <n v="9"/>
    <s v="SEMINOVOS"/>
    <x v="10"/>
    <x v="7"/>
    <x v="9"/>
    <x v="5"/>
    <d v="1899-12-30T18:00:00"/>
    <m/>
    <x v="0"/>
  </r>
  <r>
    <n v="9"/>
    <s v="CAMINHÕES MT"/>
    <x v="10"/>
    <x v="7"/>
    <x v="9"/>
    <x v="5"/>
    <d v="1899-12-30T18:00:00"/>
    <m/>
    <x v="0"/>
  </r>
  <r>
    <n v="1"/>
    <s v="LOCAÇÕES"/>
    <x v="1"/>
    <x v="1"/>
    <x v="1"/>
    <x v="1"/>
    <d v="1899-12-30T18:00:00"/>
    <m/>
    <x v="0"/>
  </r>
  <r>
    <n v="2"/>
    <s v="LOCAÇÕES"/>
    <x v="2"/>
    <x v="2"/>
    <x v="2"/>
    <x v="1"/>
    <d v="1899-12-30T18:00:00"/>
    <m/>
    <x v="0"/>
  </r>
  <r>
    <n v="3"/>
    <s v="LOCAÇÕES"/>
    <x v="3"/>
    <x v="3"/>
    <x v="3"/>
    <x v="1"/>
    <d v="1899-12-30T18:00:00"/>
    <m/>
    <x v="0"/>
  </r>
  <r>
    <n v="4"/>
    <s v="LOCAÇÕES"/>
    <x v="4"/>
    <x v="4"/>
    <x v="4"/>
    <x v="2"/>
    <d v="1899-12-30T18:00:00"/>
    <m/>
    <x v="0"/>
  </r>
  <r>
    <n v="5"/>
    <s v="LOCAÇÕES"/>
    <x v="5"/>
    <x v="4"/>
    <x v="5"/>
    <x v="2"/>
    <d v="1899-12-30T18:00:00"/>
    <m/>
    <x v="0"/>
  </r>
  <r>
    <n v="6"/>
    <s v="LOCAÇÕES"/>
    <x v="6"/>
    <x v="4"/>
    <x v="6"/>
    <x v="2"/>
    <d v="1899-12-30T18:00:00"/>
    <m/>
    <x v="0"/>
  </r>
  <r>
    <n v="7"/>
    <s v="LOCAÇÕES"/>
    <x v="7"/>
    <x v="5"/>
    <x v="7"/>
    <x v="2"/>
    <d v="1899-12-30T18:00:00"/>
    <m/>
    <x v="1"/>
  </r>
  <r>
    <n v="18"/>
    <s v="GRUNE"/>
    <x v="7"/>
    <x v="5"/>
    <x v="7"/>
    <x v="6"/>
    <d v="1899-12-30T18:00:00"/>
    <m/>
    <x v="1"/>
  </r>
  <r>
    <n v="8"/>
    <s v="LOCAÇÕES"/>
    <x v="8"/>
    <x v="6"/>
    <x v="8"/>
    <x v="3"/>
    <d v="1899-12-30T18:00:00"/>
    <m/>
    <x v="0"/>
  </r>
  <r>
    <n v="7"/>
    <s v="IFL PATRIMONIAL"/>
    <x v="6"/>
    <x v="4"/>
    <x v="10"/>
    <x v="2"/>
    <d v="1899-12-30T18:00:00"/>
    <m/>
    <x v="0"/>
  </r>
  <r>
    <n v="7"/>
    <s v="IFL PARTICIPAÇÕES"/>
    <x v="6"/>
    <x v="4"/>
    <x v="10"/>
    <x v="2"/>
    <d v="1899-12-30T18:00:00"/>
    <m/>
    <x v="0"/>
  </r>
  <r>
    <n v="7"/>
    <s v="FT4 COMELLI HOLDING"/>
    <x v="6"/>
    <x v="4"/>
    <x v="10"/>
    <x v="2"/>
    <d v="1899-12-30T18:00:00"/>
    <m/>
    <x v="0"/>
  </r>
  <r>
    <n v="7"/>
    <s v="LC COMELLI HOLDING"/>
    <x v="6"/>
    <x v="4"/>
    <x v="10"/>
    <x v="2"/>
    <d v="1899-12-30T18:00:00"/>
    <m/>
    <x v="0"/>
  </r>
  <r>
    <n v="7"/>
    <s v="COMELLI PARTICIPAÇÕES"/>
    <x v="6"/>
    <x v="4"/>
    <x v="10"/>
    <x v="2"/>
    <d v="1899-12-30T18:00:00"/>
    <m/>
    <x v="0"/>
  </r>
  <r>
    <n v="7"/>
    <s v="IFL PATRIMONIAL"/>
    <x v="7"/>
    <x v="4"/>
    <x v="10"/>
    <x v="2"/>
    <d v="1899-12-30T18:00:00"/>
    <m/>
    <x v="1"/>
  </r>
  <r>
    <n v="7"/>
    <s v="IFL PATRIMONIAL"/>
    <x v="11"/>
    <x v="4"/>
    <x v="10"/>
    <x v="2"/>
    <d v="1899-12-30T18:00:00"/>
    <m/>
    <x v="0"/>
  </r>
  <r>
    <n v="7"/>
    <s v="IFL PARTICIPAÇÕES"/>
    <x v="11"/>
    <x v="4"/>
    <x v="10"/>
    <x v="2"/>
    <d v="1899-12-30T18:00:00"/>
    <m/>
    <x v="0"/>
  </r>
  <r>
    <n v="7"/>
    <s v="FT4 COMELLI HOLDING"/>
    <x v="11"/>
    <x v="4"/>
    <x v="10"/>
    <x v="2"/>
    <d v="1899-12-30T18:00:00"/>
    <m/>
    <x v="0"/>
  </r>
  <r>
    <n v="7"/>
    <s v="LC COMELLI HOLDING"/>
    <x v="11"/>
    <x v="4"/>
    <x v="10"/>
    <x v="2"/>
    <d v="1899-12-30T18:00:00"/>
    <m/>
    <x v="0"/>
  </r>
  <r>
    <n v="7"/>
    <s v="COMELLI PARTICIPAÇÕES"/>
    <x v="11"/>
    <x v="4"/>
    <x v="10"/>
    <x v="2"/>
    <d v="1899-12-30T18:00:00"/>
    <m/>
    <x v="0"/>
  </r>
  <r>
    <n v="7"/>
    <s v="IFL PATRIMONIAL"/>
    <x v="5"/>
    <x v="4"/>
    <x v="10"/>
    <x v="2"/>
    <d v="1899-12-30T18:00:00"/>
    <m/>
    <x v="0"/>
  </r>
  <r>
    <n v="7"/>
    <s v="IFL PARTICIPAÇÕES"/>
    <x v="5"/>
    <x v="4"/>
    <x v="10"/>
    <x v="2"/>
    <d v="1899-12-30T18:00:00"/>
    <m/>
    <x v="0"/>
  </r>
  <r>
    <n v="7"/>
    <s v="FT4 COMELLI HOLDING"/>
    <x v="5"/>
    <x v="4"/>
    <x v="10"/>
    <x v="2"/>
    <d v="1899-12-30T18:00:00"/>
    <m/>
    <x v="0"/>
  </r>
  <r>
    <n v="7"/>
    <s v="LC COMELLI HOLDING"/>
    <x v="5"/>
    <x v="4"/>
    <x v="10"/>
    <x v="2"/>
    <d v="1899-12-30T18:00:00"/>
    <m/>
    <x v="0"/>
  </r>
  <r>
    <n v="7"/>
    <s v="COMELLI PARTICIPAÇÕES"/>
    <x v="5"/>
    <x v="4"/>
    <x v="10"/>
    <x v="2"/>
    <d v="1899-12-30T18:00:00"/>
    <m/>
    <x v="0"/>
  </r>
  <r>
    <n v="7"/>
    <s v="IFL PATRIMONIAL"/>
    <x v="5"/>
    <x v="4"/>
    <x v="10"/>
    <x v="2"/>
    <d v="1899-12-30T18:00:00"/>
    <m/>
    <x v="0"/>
  </r>
  <r>
    <n v="7"/>
    <s v="IFL PARTICIPAÇÕES"/>
    <x v="5"/>
    <x v="4"/>
    <x v="10"/>
    <x v="2"/>
    <d v="1899-12-30T18:00:00"/>
    <m/>
    <x v="0"/>
  </r>
  <r>
    <n v="7"/>
    <s v="FT4 COMELLI HOLDING"/>
    <x v="5"/>
    <x v="4"/>
    <x v="10"/>
    <x v="2"/>
    <d v="1899-12-30T18:00:00"/>
    <m/>
    <x v="0"/>
  </r>
  <r>
    <n v="7"/>
    <s v="LC COMELLI HOLDING"/>
    <x v="5"/>
    <x v="4"/>
    <x v="10"/>
    <x v="2"/>
    <d v="1899-12-30T18:00:00"/>
    <m/>
    <x v="0"/>
  </r>
  <r>
    <n v="7"/>
    <s v="COMELLI PARTICIPAÇÕES"/>
    <x v="5"/>
    <x v="4"/>
    <x v="10"/>
    <x v="2"/>
    <d v="1899-12-30T18:00:0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27BF9-49EF-4835-B7DA-17D42CF52279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compact="0" compactData="0" gridDropZones="1" multipleFieldFilters="0">
  <location ref="B5:K18" firstHeaderRow="2" firstDataRow="2" firstDataCol="4"/>
  <pivotFields count="7">
    <pivotField compact="0" outline="0" showAll="0"/>
    <pivotField compact="0" outline="0" showAll="0"/>
    <pivotField axis="axisRow" compact="0" outline="0" multipleItemSelectionAllowed="1" showAll="0" defaultSubtotal="0">
      <items count="12">
        <item x="1"/>
        <item x="4"/>
        <item x="5"/>
        <item x="3"/>
        <item x="0"/>
        <item x="7"/>
        <item x="6"/>
        <item x="8"/>
        <item x="2"/>
        <item x="9"/>
        <item m="1" x="11"/>
        <item x="10"/>
      </items>
    </pivotField>
    <pivotField axis="axisRow" compact="0" outline="0" showAll="0" defaultSubtotal="0">
      <items count="8">
        <item x="7"/>
        <item x="0"/>
        <item x="3"/>
        <item x="2"/>
        <item x="4"/>
        <item x="6"/>
        <item x="5"/>
        <item x="1"/>
      </items>
    </pivotField>
    <pivotField axis="axisRow" compact="0" outline="0" showAll="0" defaultSubtotal="0">
      <items count="12">
        <item x="8"/>
        <item x="7"/>
        <item x="2"/>
        <item x="1"/>
        <item m="1" x="10"/>
        <item x="0"/>
        <item x="6"/>
        <item x="5"/>
        <item x="4"/>
        <item x="9"/>
        <item m="1" x="11"/>
        <item x="3"/>
      </items>
    </pivotField>
    <pivotField axis="axisRow" compact="0" outline="0" showAll="0" sortType="descending" defaultSubtotal="0">
      <items count="20">
        <item m="1" x="19"/>
        <item m="1" x="17"/>
        <item m="1" x="7"/>
        <item m="1" x="12"/>
        <item m="1" x="8"/>
        <item m="1" x="9"/>
        <item m="1" x="13"/>
        <item m="1" x="14"/>
        <item m="1" x="18"/>
        <item x="4"/>
        <item x="2"/>
        <item x="0"/>
        <item m="1" x="15"/>
        <item m="1" x="5"/>
        <item m="1" x="10"/>
        <item x="1"/>
        <item m="1" x="16"/>
        <item m="1" x="6"/>
        <item m="1" x="11"/>
        <item x="3"/>
      </items>
    </pivotField>
    <pivotField compact="0" numFmtId="20" outline="0" showAll="0"/>
  </pivotFields>
  <rowFields count="4">
    <field x="3"/>
    <field x="2"/>
    <field x="4"/>
    <field x="5"/>
  </rowFields>
  <rowItems count="12">
    <i>
      <x/>
      <x v="9"/>
      <x v="9"/>
      <x v="19"/>
    </i>
    <i r="1">
      <x v="11"/>
      <x v="9"/>
      <x v="9"/>
    </i>
    <i>
      <x v="1"/>
      <x v="4"/>
      <x v="5"/>
      <x v="11"/>
    </i>
    <i>
      <x v="2"/>
      <x v="3"/>
      <x v="11"/>
      <x v="15"/>
    </i>
    <i>
      <x v="3"/>
      <x v="8"/>
      <x v="2"/>
      <x v="15"/>
    </i>
    <i>
      <x v="4"/>
      <x v="1"/>
      <x v="8"/>
      <x v="11"/>
    </i>
    <i r="1">
      <x v="2"/>
      <x v="7"/>
      <x v="11"/>
    </i>
    <i r="1">
      <x v="6"/>
      <x v="6"/>
      <x v="11"/>
    </i>
    <i>
      <x v="5"/>
      <x v="7"/>
      <x/>
      <x v="10"/>
    </i>
    <i>
      <x v="6"/>
      <x v="5"/>
      <x v="1"/>
      <x v="11"/>
    </i>
    <i>
      <x v="7"/>
      <x/>
      <x v="3"/>
      <x v="15"/>
    </i>
    <i t="grand">
      <x/>
    </i>
  </rowItems>
  <colItems count="1">
    <i/>
  </colItems>
  <formats count="109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dataOnly="0" labelOnly="1" grandRow="1" outline="0" fieldPosition="0"/>
    </format>
    <format dxfId="110">
      <pivotArea type="topRight" dataOnly="0" labelOnly="1" outline="0" fieldPosition="0"/>
    </format>
    <format dxfId="109">
      <pivotArea dataOnly="0" labelOnly="1" outline="0" fieldPosition="0">
        <references count="1">
          <reference field="4" count="0"/>
        </references>
      </pivotArea>
    </format>
    <format dxfId="108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3"/>
          </reference>
          <reference field="5" count="1">
            <x v="16"/>
          </reference>
        </references>
      </pivotArea>
    </format>
    <format dxfId="107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8"/>
          </reference>
          <reference field="5" count="1">
            <x v="12"/>
          </reference>
        </references>
      </pivotArea>
    </format>
    <format dxfId="106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7"/>
          </reference>
          <reference field="5" count="1">
            <x v="12"/>
          </reference>
        </references>
      </pivotArea>
    </format>
    <format dxfId="105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4"/>
          </reference>
          <reference field="5" count="1">
            <x v="16"/>
          </reference>
        </references>
      </pivotArea>
    </format>
    <format dxfId="104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5"/>
          </reference>
          <reference field="5" count="1">
            <x v="12"/>
          </reference>
        </references>
      </pivotArea>
    </format>
    <format dxfId="103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1"/>
          </reference>
          <reference field="5" count="1">
            <x v="12"/>
          </reference>
        </references>
      </pivotArea>
    </format>
    <format dxfId="102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5" count="1">
            <x v="12"/>
          </reference>
        </references>
      </pivotArea>
    </format>
    <format dxfId="101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5" count="1">
            <x v="12"/>
          </reference>
        </references>
      </pivotArea>
    </format>
    <format dxfId="100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2"/>
          </reference>
          <reference field="5" count="1">
            <x v="16"/>
          </reference>
        </references>
      </pivotArea>
    </format>
    <format dxfId="99">
      <pivotArea dataOnly="0" labelOnly="1" outline="0" fieldPosition="0">
        <references count="3">
          <reference field="2" count="1" selected="0">
            <x v="9"/>
          </reference>
          <reference field="4" count="1" selected="0">
            <x v="9"/>
          </reference>
          <reference field="5" count="1">
            <x v="1"/>
          </reference>
        </references>
      </pivotArea>
    </format>
    <format dxfId="98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3"/>
          </reference>
          <reference field="5" count="1">
            <x v="16"/>
          </reference>
        </references>
      </pivotArea>
    </format>
    <format dxfId="97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8"/>
          </reference>
          <reference field="5" count="1">
            <x v="12"/>
          </reference>
        </references>
      </pivotArea>
    </format>
    <format dxfId="96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7"/>
          </reference>
          <reference field="5" count="1">
            <x v="12"/>
          </reference>
        </references>
      </pivotArea>
    </format>
    <format dxfId="95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4"/>
          </reference>
          <reference field="5" count="1">
            <x v="16"/>
          </reference>
        </references>
      </pivotArea>
    </format>
    <format dxfId="94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5"/>
          </reference>
          <reference field="5" count="1">
            <x v="12"/>
          </reference>
        </references>
      </pivotArea>
    </format>
    <format dxfId="93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1"/>
          </reference>
          <reference field="5" count="1">
            <x v="12"/>
          </reference>
        </references>
      </pivotArea>
    </format>
    <format dxfId="92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5" count="1">
            <x v="12"/>
          </reference>
        </references>
      </pivotArea>
    </format>
    <format dxfId="91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5" count="1">
            <x v="12"/>
          </reference>
        </references>
      </pivotArea>
    </format>
    <format dxfId="90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2"/>
          </reference>
          <reference field="5" count="1">
            <x v="16"/>
          </reference>
        </references>
      </pivotArea>
    </format>
    <format dxfId="89">
      <pivotArea dataOnly="0" labelOnly="1" outline="0" fieldPosition="0">
        <references count="3">
          <reference field="2" count="1" selected="0">
            <x v="9"/>
          </reference>
          <reference field="4" count="1" selected="0">
            <x v="9"/>
          </reference>
          <reference field="5" count="1">
            <x v="1"/>
          </reference>
        </references>
      </pivotArea>
    </format>
    <format dxfId="88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8"/>
          </reference>
        </references>
      </pivotArea>
    </format>
    <format dxfId="8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8"/>
          </reference>
        </references>
      </pivotArea>
    </format>
    <format dxfId="86">
      <pivotArea dataOnly="0" labelOnly="1" outline="0" fieldPosition="0">
        <references count="2">
          <reference field="2" count="2">
            <x v="9"/>
            <x v="11"/>
          </reference>
          <reference field="3" count="1" selected="0">
            <x v="0"/>
          </reference>
        </references>
      </pivotArea>
    </format>
    <format dxfId="85">
      <pivotArea dataOnly="0" labelOnly="1" outline="0" fieldPosition="0">
        <references count="2">
          <reference field="2" count="1">
            <x v="4"/>
          </reference>
          <reference field="3" count="1" selected="0">
            <x v="1"/>
          </reference>
        </references>
      </pivotArea>
    </format>
    <format dxfId="84">
      <pivotArea dataOnly="0" labelOnly="1" outline="0" fieldPosition="0">
        <references count="2">
          <reference field="2" count="1">
            <x v="3"/>
          </reference>
          <reference field="3" count="1" selected="0">
            <x v="2"/>
          </reference>
        </references>
      </pivotArea>
    </format>
    <format dxfId="83">
      <pivotArea dataOnly="0" labelOnly="1" outline="0" fieldPosition="0">
        <references count="2">
          <reference field="2" count="1">
            <x v="8"/>
          </reference>
          <reference field="3" count="1" selected="0">
            <x v="3"/>
          </reference>
        </references>
      </pivotArea>
    </format>
    <format dxfId="82">
      <pivotArea dataOnly="0" labelOnly="1" outline="0" fieldPosition="0">
        <references count="2">
          <reference field="2" count="3">
            <x v="1"/>
            <x v="2"/>
            <x v="6"/>
          </reference>
          <reference field="3" count="1" selected="0">
            <x v="4"/>
          </reference>
        </references>
      </pivotArea>
    </format>
    <format dxfId="81">
      <pivotArea dataOnly="0" labelOnly="1" outline="0" fieldPosition="0">
        <references count="2">
          <reference field="2" count="1">
            <x v="7"/>
          </reference>
          <reference field="3" count="1" selected="0">
            <x v="5"/>
          </reference>
        </references>
      </pivotArea>
    </format>
    <format dxfId="80">
      <pivotArea dataOnly="0" labelOnly="1" outline="0" fieldPosition="0">
        <references count="2">
          <reference field="2" count="1">
            <x v="5"/>
          </reference>
          <reference field="3" count="1" selected="0">
            <x v="6"/>
          </reference>
        </references>
      </pivotArea>
    </format>
    <format dxfId="79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0"/>
          </reference>
          <reference field="4" count="1">
            <x v="9"/>
          </reference>
        </references>
      </pivotArea>
    </format>
    <format dxfId="78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4" count="1">
            <x v="10"/>
          </reference>
        </references>
      </pivotArea>
    </format>
    <format dxfId="77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"/>
          </reference>
          <reference field="4" count="1">
            <x v="5"/>
          </reference>
        </references>
      </pivotArea>
    </format>
    <format dxfId="7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75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7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4" count="1">
            <x v="8"/>
          </reference>
        </references>
      </pivotArea>
    </format>
    <format dxfId="73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4"/>
          </reference>
          <reference field="4" count="1">
            <x v="6"/>
          </reference>
        </references>
      </pivotArea>
    </format>
    <format dxfId="71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5"/>
          </reference>
          <reference field="4" count="1">
            <x v="0"/>
          </reference>
        </references>
      </pivotArea>
    </format>
    <format dxfId="70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6"/>
          </reference>
          <reference field="4" count="1">
            <x v="1"/>
          </reference>
        </references>
      </pivotArea>
    </format>
    <format dxfId="6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1"/>
          </reference>
        </references>
      </pivotArea>
    </format>
    <format dxfId="68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8"/>
          </reference>
        </references>
      </pivotArea>
    </format>
    <format dxfId="6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2"/>
          </reference>
        </references>
      </pivotArea>
    </format>
    <format dxfId="66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>
            <x v="16"/>
          </reference>
        </references>
      </pivotArea>
    </format>
    <format dxfId="65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6"/>
          </reference>
        </references>
      </pivotArea>
    </format>
    <format dxfId="6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2"/>
          </reference>
        </references>
      </pivotArea>
    </format>
    <format dxfId="63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2"/>
          </reference>
        </references>
      </pivotArea>
    </format>
    <format dxfId="62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2"/>
          </reference>
        </references>
      </pivotArea>
    </format>
    <format dxfId="61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2"/>
          </reference>
        </references>
      </pivotArea>
    </format>
    <format dxfId="60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2"/>
          </reference>
        </references>
      </pivotArea>
    </format>
    <format dxfId="59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3"/>
          </reference>
        </references>
      </pivotArea>
    </format>
    <format dxfId="58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3"/>
          </reference>
        </references>
      </pivotArea>
    </format>
    <format dxfId="5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2">
            <x v="6"/>
            <x v="7"/>
          </reference>
        </references>
      </pivotArea>
    </format>
    <format dxfId="5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4"/>
          </reference>
        </references>
      </pivotArea>
    </format>
    <format dxfId="5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>
            <x v="18"/>
          </reference>
        </references>
      </pivotArea>
    </format>
    <format dxfId="54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8"/>
          </reference>
        </references>
      </pivotArea>
    </format>
    <format dxfId="5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4"/>
          </reference>
        </references>
      </pivotArea>
    </format>
    <format dxfId="52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4"/>
          </reference>
        </references>
      </pivotArea>
    </format>
    <format dxfId="51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4"/>
          </reference>
        </references>
      </pivotArea>
    </format>
    <format dxfId="50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4"/>
          </reference>
        </references>
      </pivotArea>
    </format>
    <format dxfId="4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4"/>
          </reference>
        </references>
      </pivotArea>
    </format>
    <format dxfId="4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>
            <x v="18"/>
          </reference>
        </references>
      </pivotArea>
    </format>
    <format dxfId="4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2">
            <x v="6"/>
            <x v="7"/>
          </reference>
        </references>
      </pivotArea>
    </format>
    <format dxfId="46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4"/>
          </reference>
        </references>
      </pivotArea>
    </format>
    <format dxfId="45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>
            <x v="18"/>
          </reference>
        </references>
      </pivotArea>
    </format>
    <format dxfId="44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8"/>
          </reference>
        </references>
      </pivotArea>
    </format>
    <format dxfId="4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4"/>
          </reference>
        </references>
      </pivotArea>
    </format>
    <format dxfId="42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4"/>
          </reference>
        </references>
      </pivotArea>
    </format>
    <format dxfId="41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4"/>
          </reference>
        </references>
      </pivotArea>
    </format>
    <format dxfId="40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4"/>
          </reference>
        </references>
      </pivotArea>
    </format>
    <format dxfId="39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4"/>
          </reference>
        </references>
      </pivotArea>
    </format>
    <format dxfId="3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7"/>
          </reference>
          <reference field="4" count="1" selected="0">
            <x v="3"/>
          </reference>
          <reference field="5" count="1">
            <x v="18"/>
          </reference>
        </references>
      </pivotArea>
    </format>
    <format dxfId="3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2"/>
          </reference>
        </references>
      </pivotArea>
    </format>
    <format dxfId="3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5"/>
          </reference>
        </references>
      </pivotArea>
    </format>
    <format dxfId="3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3"/>
          </reference>
        </references>
      </pivotArea>
    </format>
    <format dxfId="3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>
            <x v="17"/>
          </reference>
        </references>
      </pivotArea>
    </format>
    <format dxfId="3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7"/>
          </reference>
        </references>
      </pivotArea>
    </format>
    <format dxfId="3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3"/>
          </reference>
        </references>
      </pivotArea>
    </format>
    <format dxfId="31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3"/>
          </reference>
        </references>
      </pivotArea>
    </format>
    <format dxfId="30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3"/>
          </reference>
        </references>
      </pivotArea>
    </format>
    <format dxfId="29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3"/>
          </reference>
        </references>
      </pivotArea>
    </format>
    <format dxfId="28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3"/>
          </reference>
        </references>
      </pivotArea>
    </format>
    <format dxfId="27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2"/>
          </reference>
        </references>
      </pivotArea>
    </format>
    <format dxfId="2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5"/>
          </reference>
        </references>
      </pivotArea>
    </format>
    <format dxfId="25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3"/>
          </reference>
        </references>
      </pivotArea>
    </format>
    <format dxfId="24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>
            <x v="17"/>
          </reference>
        </references>
      </pivotArea>
    </format>
    <format dxfId="23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7"/>
          </reference>
        </references>
      </pivotArea>
    </format>
    <format dxfId="2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3"/>
          </reference>
        </references>
      </pivotArea>
    </format>
    <format dxfId="21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3"/>
          </reference>
        </references>
      </pivotArea>
    </format>
    <format dxfId="20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3"/>
          </reference>
        </references>
      </pivotArea>
    </format>
    <format dxfId="19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3"/>
          </reference>
        </references>
      </pivotArea>
    </format>
    <format dxfId="18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3"/>
          </reference>
        </references>
      </pivotArea>
    </format>
    <format dxfId="17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4"/>
          </reference>
        </references>
      </pivotArea>
    </format>
    <format dxfId="16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10"/>
          </reference>
          <reference field="5" count="1">
            <x v="4"/>
          </reference>
        </references>
      </pivotArea>
    </format>
    <format dxfId="15">
      <pivotArea dataOnly="0" labelOnly="1" outline="0" fieldPosition="0">
        <references count="4">
          <reference field="2" count="1" selected="0">
            <x v="9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19"/>
          </reference>
        </references>
      </pivotArea>
    </format>
    <format dxfId="14">
      <pivotArea dataOnly="0" labelOnly="1" outline="0" fieldPosition="0">
        <references count="4">
          <reference field="2" count="1" selected="0">
            <x v="11"/>
          </reference>
          <reference field="3" count="1" selected="0">
            <x v="0"/>
          </reference>
          <reference field="4" count="1" selected="0">
            <x v="9"/>
          </reference>
          <reference field="5" count="1">
            <x v="9"/>
          </reference>
        </references>
      </pivotArea>
    </format>
    <format dxfId="13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11"/>
          </reference>
        </references>
      </pivotArea>
    </format>
    <format dxfId="12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11"/>
          </reference>
          <reference field="5" count="1">
            <x v="15"/>
          </reference>
        </references>
      </pivotArea>
    </format>
    <format dxfId="11">
      <pivotArea dataOnly="0" labelOnly="1" outline="0" fieldPosition="0">
        <references count="4">
          <reference field="2" count="1" selected="0">
            <x v="8"/>
          </reference>
          <reference field="3" count="1" selected="0">
            <x v="3"/>
          </reference>
          <reference field="4" count="1" selected="0">
            <x v="2"/>
          </reference>
          <reference field="5" count="1">
            <x v="15"/>
          </reference>
        </references>
      </pivotArea>
    </format>
    <format dxfId="1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4" count="1" selected="0">
            <x v="8"/>
          </reference>
          <reference field="5" count="1">
            <x v="11"/>
          </reference>
        </references>
      </pivotArea>
    </format>
    <format dxfId="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4"/>
          </reference>
          <reference field="4" count="1" selected="0">
            <x v="7"/>
          </reference>
          <reference field="5" count="1">
            <x v="11"/>
          </reference>
        </references>
      </pivotArea>
    </format>
    <format dxfId="8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4"/>
          </reference>
          <reference field="4" count="1" selected="0">
            <x v="6"/>
          </reference>
          <reference field="5" count="1">
            <x v="11"/>
          </reference>
        </references>
      </pivotArea>
    </format>
    <format dxfId="7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5"/>
          </reference>
          <reference field="4" count="1" selected="0">
            <x v="0"/>
          </reference>
          <reference field="5" count="1">
            <x v="10"/>
          </reference>
        </references>
      </pivotArea>
    </format>
    <format dxfId="6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6"/>
          </reference>
          <reference field="4" count="1" selected="0">
            <x v="1"/>
          </reference>
          <reference field="5" count="1">
            <x v="11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42FCB-CC13-47BC-AB8D-6E570A68967E}" name="Tabela dinâmica1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B3:F16" firstHeaderRow="1" firstDataRow="1" firstDataCol="5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0"/>
        <item x="1"/>
        <item x="9"/>
        <item x="4"/>
        <item x="5"/>
        <item x="3"/>
        <item x="0"/>
        <item x="7"/>
        <item x="6"/>
        <item x="8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7"/>
        <item x="0"/>
        <item x="3"/>
        <item x="2"/>
        <item x="4"/>
        <item x="6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8"/>
        <item x="10"/>
        <item x="3"/>
        <item x="2"/>
        <item x="1"/>
        <item x="0"/>
        <item x="6"/>
        <item x="11"/>
        <item x="7"/>
        <item x="4"/>
        <item x="5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">
        <item x="5"/>
        <item x="1"/>
        <item x="2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6">
        <item x="5"/>
        <item x="4"/>
        <item x="0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2"/>
    <field x="4"/>
    <field x="5"/>
    <field x="13"/>
  </rowFields>
  <rowItems count="13">
    <i>
      <x/>
      <x/>
      <x v="1"/>
      <x/>
      <x/>
    </i>
    <i r="1">
      <x v="2"/>
      <x v="1"/>
      <x v="5"/>
      <x v="1"/>
    </i>
    <i>
      <x v="1"/>
      <x v="6"/>
      <x v="5"/>
      <x v="4"/>
      <x v="2"/>
    </i>
    <i>
      <x v="2"/>
      <x v="5"/>
      <x v="2"/>
      <x v="1"/>
      <x v="5"/>
    </i>
    <i>
      <x v="3"/>
      <x v="10"/>
      <x v="3"/>
      <x v="1"/>
      <x v="5"/>
    </i>
    <i>
      <x v="4"/>
      <x v="3"/>
      <x v="9"/>
      <x v="2"/>
      <x v="4"/>
    </i>
    <i r="1">
      <x v="4"/>
      <x v="7"/>
      <x v="2"/>
      <x v="4"/>
    </i>
    <i r="2">
      <x v="10"/>
      <x v="2"/>
      <x v="4"/>
    </i>
    <i r="2">
      <x v="11"/>
      <x v="2"/>
      <x v="4"/>
    </i>
    <i r="1">
      <x v="8"/>
      <x v="6"/>
      <x v="2"/>
      <x v="4"/>
    </i>
    <i>
      <x v="5"/>
      <x v="9"/>
      <x/>
      <x v="3"/>
      <x v="3"/>
    </i>
    <i>
      <x v="6"/>
      <x v="7"/>
      <x v="8"/>
      <x v="2"/>
      <x v="4"/>
    </i>
    <i>
      <x v="7"/>
      <x v="1"/>
      <x v="4"/>
      <x v="1"/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FD235-23B0-4A20-8B1C-BE92D82C958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34" firstHeaderRow="1" firstDataRow="1" firstDataCol="1" rowPageCount="2" colPageCount="1"/>
  <pivotFields count="9">
    <pivotField showAll="0"/>
    <pivotField showAll="0"/>
    <pivotField axis="axisRow" showAll="0">
      <items count="13">
        <item x="10"/>
        <item x="1"/>
        <item x="9"/>
        <item x="11"/>
        <item x="4"/>
        <item x="5"/>
        <item x="3"/>
        <item x="0"/>
        <item x="7"/>
        <item x="6"/>
        <item x="8"/>
        <item x="2"/>
        <item t="default"/>
      </items>
    </pivotField>
    <pivotField axis="axisRow" showAll="0">
      <items count="9">
        <item x="7"/>
        <item x="0"/>
        <item x="3"/>
        <item x="2"/>
        <item x="4"/>
        <item x="6"/>
        <item x="5"/>
        <item x="1"/>
        <item t="default"/>
      </items>
    </pivotField>
    <pivotField axis="axisRow" showAll="0">
      <items count="15">
        <item x="7"/>
        <item x="8"/>
        <item x="9"/>
        <item x="10"/>
        <item x="3"/>
        <item x="2"/>
        <item x="1"/>
        <item x="0"/>
        <item m="1" x="11"/>
        <item x="6"/>
        <item m="1" x="13"/>
        <item m="1" x="12"/>
        <item x="5"/>
        <item x="4"/>
        <item t="default"/>
      </items>
    </pivotField>
    <pivotField axis="axisPage" multipleItemSelectionAllowed="1" showAll="0">
      <items count="8">
        <item h="1" x="5"/>
        <item x="1"/>
        <item x="2"/>
        <item x="3"/>
        <item x="0"/>
        <item x="4"/>
        <item x="6"/>
        <item t="default"/>
      </items>
    </pivotField>
    <pivotField numFmtId="20" showAll="0"/>
    <pivotField showAll="0"/>
    <pivotField axis="axisPage" multipleItemSelectionAllowed="1" showAll="0">
      <items count="5">
        <item h="1" x="3"/>
        <item h="1" x="1"/>
        <item h="1" x="2"/>
        <item x="0"/>
        <item t="default"/>
      </items>
    </pivotField>
  </pivotFields>
  <rowFields count="3">
    <field x="3"/>
    <field x="2"/>
    <field x="4"/>
  </rowFields>
  <rowItems count="30">
    <i>
      <x/>
    </i>
    <i r="1">
      <x v="2"/>
    </i>
    <i r="2">
      <x v="2"/>
    </i>
    <i>
      <x v="1"/>
    </i>
    <i r="1">
      <x v="7"/>
    </i>
    <i r="2">
      <x v="7"/>
    </i>
    <i>
      <x v="2"/>
    </i>
    <i r="1">
      <x v="6"/>
    </i>
    <i r="2">
      <x v="4"/>
    </i>
    <i>
      <x v="3"/>
    </i>
    <i r="1">
      <x v="11"/>
    </i>
    <i r="2">
      <x v="5"/>
    </i>
    <i>
      <x v="4"/>
    </i>
    <i r="1">
      <x v="3"/>
    </i>
    <i r="2">
      <x v="3"/>
    </i>
    <i r="1">
      <x v="4"/>
    </i>
    <i r="2">
      <x v="13"/>
    </i>
    <i r="1">
      <x v="5"/>
    </i>
    <i r="2">
      <x v="3"/>
    </i>
    <i r="2">
      <x v="12"/>
    </i>
    <i r="1">
      <x v="9"/>
    </i>
    <i r="2">
      <x v="3"/>
    </i>
    <i r="2">
      <x v="9"/>
    </i>
    <i>
      <x v="5"/>
    </i>
    <i r="1">
      <x v="10"/>
    </i>
    <i r="2">
      <x v="1"/>
    </i>
    <i>
      <x v="7"/>
    </i>
    <i r="1">
      <x v="1"/>
    </i>
    <i r="2">
      <x v="6"/>
    </i>
    <i t="grand">
      <x/>
    </i>
  </rowItems>
  <colItems count="1">
    <i/>
  </colItems>
  <pageFields count="2">
    <pageField fld="8" hier="-1"/>
    <pageField fld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FF2D74-E592-42F4-84F6-AC641488590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f02173-d221-4848-a0eb-15db2432e86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0E9A-BF18-4EF8-8870-E51F0E18F064}">
  <dimension ref="A3:D20"/>
  <sheetViews>
    <sheetView workbookViewId="0">
      <selection activeCell="B24" sqref="B24"/>
    </sheetView>
  </sheetViews>
  <sheetFormatPr defaultRowHeight="13.2" x14ac:dyDescent="0.25"/>
  <cols>
    <col min="2" max="2" width="47.44140625" bestFit="1" customWidth="1"/>
    <col min="3" max="3" width="6.5546875" bestFit="1" customWidth="1"/>
    <col min="4" max="4" width="16" bestFit="1" customWidth="1"/>
  </cols>
  <sheetData>
    <row r="3" spans="1:4" x14ac:dyDescent="0.25">
      <c r="A3" s="40" t="s">
        <v>0</v>
      </c>
      <c r="B3" s="41" t="s">
        <v>1</v>
      </c>
      <c r="C3" s="1" t="s">
        <v>2</v>
      </c>
    </row>
    <row r="4" spans="1:4" x14ac:dyDescent="0.25">
      <c r="A4" s="40" t="s">
        <v>3</v>
      </c>
      <c r="B4" s="2" t="s">
        <v>4</v>
      </c>
      <c r="C4" s="1" t="s">
        <v>5</v>
      </c>
    </row>
    <row r="6" spans="1:4" x14ac:dyDescent="0.25">
      <c r="A6" s="40" t="s">
        <v>6</v>
      </c>
      <c r="B6" s="41" t="s">
        <v>7</v>
      </c>
      <c r="C6" s="1" t="s">
        <v>8</v>
      </c>
    </row>
    <row r="7" spans="1:4" x14ac:dyDescent="0.25">
      <c r="A7" s="40" t="s">
        <v>9</v>
      </c>
      <c r="B7" s="41" t="s">
        <v>7</v>
      </c>
      <c r="C7" s="1" t="s">
        <v>10</v>
      </c>
    </row>
    <row r="9" spans="1:4" x14ac:dyDescent="0.25">
      <c r="A9" s="40" t="s">
        <v>11</v>
      </c>
      <c r="B9" s="41" t="s">
        <v>12</v>
      </c>
      <c r="C9" s="1" t="s">
        <v>13</v>
      </c>
    </row>
    <row r="11" spans="1:4" x14ac:dyDescent="0.25">
      <c r="A11" s="40" t="s">
        <v>14</v>
      </c>
      <c r="B11" s="41" t="s">
        <v>15</v>
      </c>
      <c r="C11" s="1" t="s">
        <v>16</v>
      </c>
      <c r="D11" s="4" t="s">
        <v>17</v>
      </c>
    </row>
    <row r="12" spans="1:4" x14ac:dyDescent="0.25">
      <c r="A12" s="40" t="s">
        <v>18</v>
      </c>
      <c r="B12" s="41" t="s">
        <v>19</v>
      </c>
      <c r="C12" s="1" t="s">
        <v>20</v>
      </c>
      <c r="D12" s="42" t="s">
        <v>21</v>
      </c>
    </row>
    <row r="14" spans="1:4" x14ac:dyDescent="0.25">
      <c r="A14" s="40" t="s">
        <v>22</v>
      </c>
      <c r="B14" s="2" t="s">
        <v>23</v>
      </c>
      <c r="C14" s="1" t="s">
        <v>24</v>
      </c>
    </row>
    <row r="16" spans="1:4" x14ac:dyDescent="0.25">
      <c r="A16" s="40" t="s">
        <v>22</v>
      </c>
      <c r="B16" s="2" t="s">
        <v>25</v>
      </c>
      <c r="C16" s="1" t="s">
        <v>26</v>
      </c>
      <c r="D16" s="42" t="s">
        <v>27</v>
      </c>
    </row>
    <row r="18" spans="1:3" x14ac:dyDescent="0.25">
      <c r="A18" s="40" t="s">
        <v>22</v>
      </c>
      <c r="B18" s="2" t="s">
        <v>28</v>
      </c>
      <c r="C18" s="1" t="s">
        <v>20</v>
      </c>
    </row>
    <row r="20" spans="1:3" x14ac:dyDescent="0.25">
      <c r="A20" s="1"/>
      <c r="B20" s="3" t="s">
        <v>29</v>
      </c>
      <c r="C20" s="41" t="s">
        <v>30</v>
      </c>
    </row>
  </sheetData>
  <customSheetViews>
    <customSheetView guid="{C85FEBD2-4F70-4E73-9DDF-3EF2B1B507C0}" state="hidden">
      <selection activeCell="B24" sqref="B24"/>
      <pageMargins left="0" right="0" top="0" bottom="0" header="0" footer="0"/>
      <pageSetup orientation="portrait" r:id="rId1"/>
      <headerFooter alignWithMargins="0"/>
    </customSheetView>
    <customSheetView guid="{272DF0F8-FD24-44E3-94C1-386D78F5B3AD}" state="hidden">
      <selection activeCell="B24" sqref="B24"/>
      <pageMargins left="0" right="0" top="0" bottom="0" header="0" footer="0"/>
      <pageSetup orientation="portrait" r:id="rId2"/>
      <headerFooter alignWithMargins="0"/>
    </customSheetView>
    <customSheetView guid="{42C49DAE-241A-424C-BE16-164C8D1282F8}" state="hidden">
      <selection activeCell="B24" sqref="B24"/>
      <pageMargins left="0" right="0" top="0" bottom="0" header="0" footer="0"/>
      <pageSetup orientation="portrait" r:id="rId3"/>
      <headerFooter alignWithMargins="0"/>
    </customSheetView>
    <customSheetView guid="{82D28B06-7129-4B14-BECA-4E1EF6D30C2C}" state="hidden">
      <selection activeCell="B24" sqref="B24"/>
      <pageMargins left="0" right="0" top="0" bottom="0" header="0" footer="0"/>
      <pageSetup orientation="portrait" r:id="rId4"/>
      <headerFooter alignWithMargins="0"/>
    </customSheetView>
    <customSheetView guid="{5AD48A4A-9E8D-47D6-BA73-A4462D3E98C0}" state="hidden">
      <selection activeCell="B24" sqref="B24"/>
      <pageMargins left="0" right="0" top="0" bottom="0" header="0" footer="0"/>
      <pageSetup orientation="portrait" r:id="rId5"/>
      <headerFooter alignWithMargins="0"/>
    </customSheetView>
    <customSheetView guid="{4D056326-B166-40DC-9CDF-108A95914A41}" state="hidden">
      <selection activeCell="B24" sqref="B24"/>
      <pageMargins left="0" right="0" top="0" bottom="0" header="0" footer="0"/>
      <pageSetup orientation="portrait" r:id="rId6"/>
      <headerFooter alignWithMargins="0"/>
    </customSheetView>
  </customSheetViews>
  <phoneticPr fontId="4" type="noConversion"/>
  <pageMargins left="0.78740157499999996" right="0.78740157499999996" top="0.984251969" bottom="0.984251969" header="0.49212598499999999" footer="0.49212598499999999"/>
  <pageSetup orientation="portrait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3CF0-901B-4E65-B1E9-22941EF7E8BB}">
  <sheetPr>
    <pageSetUpPr fitToPage="1"/>
  </sheetPr>
  <dimension ref="B4:N26"/>
  <sheetViews>
    <sheetView showGridLines="0" zoomScale="90" zoomScaleNormal="90" zoomScaleSheetLayoutView="80" workbookViewId="0">
      <pane xSplit="1" ySplit="7" topLeftCell="B20" activePane="bottomRight" state="frozen"/>
      <selection pane="topRight" activeCell="K50" sqref="K50"/>
      <selection pane="bottomLeft" activeCell="K50" sqref="K50"/>
      <selection pane="bottomRight"/>
    </sheetView>
  </sheetViews>
  <sheetFormatPr defaultColWidth="11.44140625" defaultRowHeight="15.6" x14ac:dyDescent="0.25"/>
  <cols>
    <col min="1" max="1" width="1.5546875" style="9" customWidth="1"/>
    <col min="2" max="2" width="8.5546875" style="5" bestFit="1" customWidth="1"/>
    <col min="3" max="3" width="28.88671875" style="10" customWidth="1"/>
    <col min="4" max="4" width="35" style="5" bestFit="1" customWidth="1"/>
    <col min="5" max="5" width="19.44140625" style="5" bestFit="1" customWidth="1"/>
    <col min="6" max="6" width="18" style="5" bestFit="1" customWidth="1"/>
    <col min="7" max="7" width="14" style="9" bestFit="1" customWidth="1"/>
    <col min="8" max="8" width="1" style="9" customWidth="1"/>
    <col min="9" max="10" width="13.5546875" style="5" customWidth="1"/>
    <col min="11" max="11" width="1.44140625" style="9" customWidth="1"/>
    <col min="12" max="13" width="14.5546875" style="9" customWidth="1"/>
    <col min="14" max="16384" width="11.44140625" style="9"/>
  </cols>
  <sheetData>
    <row r="4" spans="2:14" x14ac:dyDescent="0.25">
      <c r="C4" s="6"/>
      <c r="D4" s="7"/>
      <c r="E4" s="7"/>
      <c r="F4" s="7"/>
      <c r="G4" s="8"/>
    </row>
    <row r="5" spans="2:14" ht="13.35" customHeight="1" x14ac:dyDescent="0.25">
      <c r="B5" s="291" t="s">
        <v>31</v>
      </c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</row>
    <row r="6" spans="2:14" x14ac:dyDescent="0.25">
      <c r="C6" s="6"/>
      <c r="D6" s="7"/>
      <c r="E6" s="7"/>
      <c r="F6" s="7"/>
      <c r="G6" s="8"/>
    </row>
    <row r="7" spans="2:14" ht="31.2" x14ac:dyDescent="0.25">
      <c r="B7" s="38" t="s">
        <v>32</v>
      </c>
      <c r="C7" s="39" t="s">
        <v>33</v>
      </c>
      <c r="D7" s="38" t="s">
        <v>34</v>
      </c>
      <c r="E7" s="38" t="s">
        <v>35</v>
      </c>
      <c r="F7" s="38" t="s">
        <v>36</v>
      </c>
      <c r="G7" s="39" t="s">
        <v>37</v>
      </c>
      <c r="I7" s="39" t="s">
        <v>38</v>
      </c>
      <c r="J7" s="39" t="s">
        <v>39</v>
      </c>
      <c r="L7" s="39" t="s">
        <v>40</v>
      </c>
      <c r="M7" s="39" t="s">
        <v>35</v>
      </c>
      <c r="N7" s="39" t="s">
        <v>41</v>
      </c>
    </row>
    <row r="8" spans="2:14" x14ac:dyDescent="0.3">
      <c r="B8" s="11">
        <v>1</v>
      </c>
      <c r="C8" s="12" t="s">
        <v>42</v>
      </c>
      <c r="D8" s="13" t="s">
        <v>43</v>
      </c>
      <c r="E8" s="29" t="s">
        <v>44</v>
      </c>
      <c r="F8" s="14" t="s">
        <v>45</v>
      </c>
      <c r="G8" s="15">
        <v>0.75</v>
      </c>
      <c r="I8" s="15"/>
      <c r="J8" s="15"/>
      <c r="L8" s="15"/>
      <c r="M8" s="15"/>
      <c r="N8" s="15"/>
    </row>
    <row r="9" spans="2:14" ht="5.0999999999999996" customHeight="1" x14ac:dyDescent="0.3">
      <c r="B9" s="16"/>
      <c r="C9" s="17"/>
      <c r="D9" s="18"/>
      <c r="E9" s="30"/>
      <c r="F9" s="19"/>
      <c r="G9" s="20"/>
      <c r="I9" s="20"/>
      <c r="J9" s="20"/>
      <c r="L9" s="20"/>
      <c r="M9" s="20"/>
      <c r="N9" s="20"/>
    </row>
    <row r="10" spans="2:14" x14ac:dyDescent="0.3">
      <c r="B10" s="11">
        <v>2</v>
      </c>
      <c r="C10" s="12" t="s">
        <v>46</v>
      </c>
      <c r="D10" s="21" t="s">
        <v>47</v>
      </c>
      <c r="E10" s="29" t="s">
        <v>48</v>
      </c>
      <c r="F10" s="14" t="s">
        <v>49</v>
      </c>
      <c r="G10" s="15">
        <v>0.75</v>
      </c>
      <c r="I10" s="15"/>
      <c r="J10" s="15"/>
      <c r="L10" s="15"/>
      <c r="M10" s="15"/>
      <c r="N10" s="15"/>
    </row>
    <row r="11" spans="2:14" ht="5.0999999999999996" customHeight="1" x14ac:dyDescent="0.3">
      <c r="B11" s="16"/>
      <c r="C11" s="17"/>
      <c r="D11" s="22"/>
      <c r="E11" s="31"/>
      <c r="F11" s="19"/>
      <c r="G11" s="20"/>
      <c r="I11" s="20"/>
      <c r="J11" s="20"/>
      <c r="L11" s="20"/>
      <c r="M11" s="20"/>
      <c r="N11" s="20"/>
    </row>
    <row r="12" spans="2:14" x14ac:dyDescent="0.3">
      <c r="B12" s="11">
        <v>3</v>
      </c>
      <c r="C12" s="12" t="s">
        <v>50</v>
      </c>
      <c r="D12" s="21" t="s">
        <v>51</v>
      </c>
      <c r="E12" s="29" t="s">
        <v>52</v>
      </c>
      <c r="F12" s="14" t="s">
        <v>45</v>
      </c>
      <c r="G12" s="15">
        <v>0.75</v>
      </c>
      <c r="I12" s="15"/>
      <c r="J12" s="15"/>
      <c r="L12" s="15"/>
      <c r="M12" s="15"/>
      <c r="N12" s="15"/>
    </row>
    <row r="13" spans="2:14" ht="5.0999999999999996" customHeight="1" x14ac:dyDescent="0.3">
      <c r="B13" s="16"/>
      <c r="C13" s="17"/>
      <c r="D13" s="22"/>
      <c r="E13" s="31"/>
      <c r="F13" s="19"/>
      <c r="G13" s="20"/>
      <c r="I13" s="20"/>
      <c r="J13" s="20"/>
      <c r="L13" s="20"/>
      <c r="M13" s="20"/>
      <c r="N13" s="20"/>
    </row>
    <row r="14" spans="2:14" x14ac:dyDescent="0.3">
      <c r="B14" s="11">
        <v>4</v>
      </c>
      <c r="C14" s="12" t="s">
        <v>53</v>
      </c>
      <c r="D14" s="12" t="s">
        <v>53</v>
      </c>
      <c r="E14" s="29"/>
      <c r="F14" s="14" t="s">
        <v>45</v>
      </c>
      <c r="G14" s="15">
        <v>0.75</v>
      </c>
      <c r="I14" s="15"/>
      <c r="J14" s="15"/>
      <c r="L14" s="15"/>
      <c r="M14" s="15"/>
      <c r="N14" s="15"/>
    </row>
    <row r="15" spans="2:14" ht="5.0999999999999996" customHeight="1" x14ac:dyDescent="0.3">
      <c r="B15" s="16"/>
      <c r="C15" s="17"/>
      <c r="D15" s="22"/>
      <c r="E15" s="31"/>
      <c r="F15" s="19"/>
      <c r="G15" s="20"/>
      <c r="I15" s="20"/>
      <c r="J15" s="20"/>
      <c r="L15" s="20"/>
      <c r="M15" s="20"/>
      <c r="N15" s="20"/>
    </row>
    <row r="16" spans="2:14" s="5" customFormat="1" ht="15.75" customHeight="1" x14ac:dyDescent="0.25">
      <c r="B16" s="11">
        <v>5</v>
      </c>
      <c r="C16" s="35" t="s">
        <v>54</v>
      </c>
      <c r="D16" s="36" t="s">
        <v>55</v>
      </c>
      <c r="E16" s="32"/>
      <c r="F16" s="14" t="s">
        <v>45</v>
      </c>
      <c r="G16" s="15">
        <v>0.75</v>
      </c>
      <c r="H16" s="9"/>
      <c r="I16" s="15"/>
      <c r="J16" s="15"/>
      <c r="L16" s="15"/>
      <c r="M16" s="15"/>
      <c r="N16" s="15"/>
    </row>
    <row r="17" spans="2:14" ht="5.0999999999999996" customHeight="1" x14ac:dyDescent="0.3">
      <c r="B17" s="16"/>
      <c r="C17" s="17"/>
      <c r="D17" s="22"/>
      <c r="E17" s="31"/>
      <c r="F17" s="19"/>
      <c r="G17" s="20"/>
      <c r="I17" s="20"/>
      <c r="J17" s="20"/>
      <c r="L17" s="20"/>
      <c r="M17" s="20"/>
      <c r="N17" s="20"/>
    </row>
    <row r="18" spans="2:14" s="5" customFormat="1" ht="15.75" customHeight="1" x14ac:dyDescent="0.3">
      <c r="B18" s="11">
        <v>6</v>
      </c>
      <c r="C18" s="33" t="s">
        <v>56</v>
      </c>
      <c r="D18" s="36" t="s">
        <v>55</v>
      </c>
      <c r="E18" s="32"/>
      <c r="F18" s="14" t="s">
        <v>45</v>
      </c>
      <c r="G18" s="15">
        <v>0.75</v>
      </c>
      <c r="H18" s="9"/>
      <c r="I18" s="15"/>
      <c r="J18" s="15"/>
      <c r="L18" s="15"/>
      <c r="M18" s="15"/>
      <c r="N18" s="15"/>
    </row>
    <row r="19" spans="2:14" s="5" customFormat="1" ht="5.0999999999999996" customHeight="1" x14ac:dyDescent="0.3">
      <c r="B19" s="16"/>
      <c r="C19" s="23"/>
      <c r="D19" s="22"/>
      <c r="E19" s="31"/>
      <c r="F19" s="19"/>
      <c r="G19" s="20"/>
      <c r="H19" s="9"/>
      <c r="I19" s="20"/>
      <c r="J19" s="20"/>
      <c r="L19" s="20"/>
      <c r="M19" s="20"/>
      <c r="N19" s="20"/>
    </row>
    <row r="20" spans="2:14" s="5" customFormat="1" x14ac:dyDescent="0.3">
      <c r="B20" s="11">
        <v>7</v>
      </c>
      <c r="C20" s="12" t="s">
        <v>57</v>
      </c>
      <c r="D20" s="36" t="s">
        <v>55</v>
      </c>
      <c r="E20" s="32"/>
      <c r="F20" s="14" t="s">
        <v>45</v>
      </c>
      <c r="G20" s="15">
        <v>0.75</v>
      </c>
      <c r="H20" s="9"/>
      <c r="I20" s="15"/>
      <c r="J20" s="15"/>
      <c r="L20" s="15"/>
      <c r="M20" s="15"/>
      <c r="N20" s="15"/>
    </row>
    <row r="21" spans="2:14" s="5" customFormat="1" ht="5.0999999999999996" customHeight="1" x14ac:dyDescent="0.3">
      <c r="B21" s="16"/>
      <c r="C21" s="23"/>
      <c r="D21" s="22"/>
      <c r="E21" s="31"/>
      <c r="F21" s="19"/>
      <c r="G21" s="20"/>
      <c r="H21" s="9"/>
      <c r="I21" s="20"/>
      <c r="J21" s="20"/>
      <c r="L21" s="20"/>
      <c r="M21" s="20"/>
      <c r="N21" s="20"/>
    </row>
    <row r="22" spans="2:14" s="5" customFormat="1" x14ac:dyDescent="0.3">
      <c r="B22" s="11">
        <v>8</v>
      </c>
      <c r="C22" s="24" t="s">
        <v>58</v>
      </c>
      <c r="D22" s="21" t="s">
        <v>59</v>
      </c>
      <c r="E22" s="29"/>
      <c r="F22" s="14" t="s">
        <v>45</v>
      </c>
      <c r="G22" s="15">
        <v>0.75</v>
      </c>
      <c r="H22" s="9"/>
      <c r="I22" s="15"/>
      <c r="J22" s="15"/>
      <c r="L22" s="15"/>
      <c r="M22" s="15"/>
      <c r="N22" s="15"/>
    </row>
    <row r="23" spans="2:14" s="5" customFormat="1" ht="5.0999999999999996" customHeight="1" x14ac:dyDescent="0.3">
      <c r="B23" s="16"/>
      <c r="C23" s="23"/>
      <c r="D23" s="22"/>
      <c r="E23" s="31"/>
      <c r="F23" s="19"/>
      <c r="G23" s="20"/>
      <c r="H23" s="9"/>
      <c r="I23" s="20"/>
      <c r="J23" s="20"/>
      <c r="L23" s="20"/>
      <c r="M23" s="20"/>
      <c r="N23" s="20"/>
    </row>
    <row r="24" spans="2:14" s="5" customFormat="1" x14ac:dyDescent="0.3">
      <c r="B24" s="11">
        <v>9</v>
      </c>
      <c r="C24" s="25" t="s">
        <v>60</v>
      </c>
      <c r="D24" s="21" t="s">
        <v>61</v>
      </c>
      <c r="E24" s="21"/>
      <c r="F24" s="14" t="s">
        <v>45</v>
      </c>
      <c r="G24" s="15">
        <v>0.75</v>
      </c>
      <c r="H24" s="9"/>
      <c r="I24" s="34"/>
      <c r="J24" s="34"/>
      <c r="L24" s="34"/>
      <c r="M24" s="34"/>
      <c r="N24" s="34"/>
    </row>
    <row r="25" spans="2:14" x14ac:dyDescent="0.25">
      <c r="B25" s="26"/>
      <c r="C25" s="27"/>
      <c r="D25" s="26"/>
      <c r="E25" s="26"/>
      <c r="F25" s="26"/>
      <c r="G25" s="28"/>
    </row>
    <row r="26" spans="2:14" x14ac:dyDescent="0.25">
      <c r="B26" s="292" t="s">
        <v>62</v>
      </c>
      <c r="C26" s="292"/>
      <c r="D26" s="292"/>
      <c r="E26" s="292"/>
      <c r="F26" s="292"/>
      <c r="G26" s="292"/>
    </row>
  </sheetData>
  <autoFilter ref="B7:G7" xr:uid="{D24798CD-838D-40FE-BB76-9E453F83021F}"/>
  <mergeCells count="2">
    <mergeCell ref="B5:N5"/>
    <mergeCell ref="B26:G26"/>
  </mergeCells>
  <conditionalFormatting sqref="B8:B24">
    <cfRule type="expression" dxfId="5" priority="1" stopIfTrue="1">
      <formula>#REF!=""</formula>
    </cfRule>
  </conditionalFormatting>
  <printOptions horizontalCentered="1"/>
  <pageMargins left="0.7" right="0.7" top="0.75" bottom="0.75" header="0.3" footer="0.3"/>
  <pageSetup paperSize="9" scale="59" fitToHeight="0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8FBE-C1D9-48B9-8665-BE9C32E95D89}">
  <dimension ref="B2:K22"/>
  <sheetViews>
    <sheetView showGridLines="0" workbookViewId="0">
      <selection activeCell="H16" sqref="H16"/>
    </sheetView>
  </sheetViews>
  <sheetFormatPr defaultColWidth="8.88671875" defaultRowHeight="13.2" x14ac:dyDescent="0.25"/>
  <cols>
    <col min="1" max="1" width="6.109375" style="67" customWidth="1"/>
    <col min="2" max="2" width="19.44140625" style="67" customWidth="1"/>
    <col min="3" max="3" width="30" style="67" customWidth="1"/>
    <col min="4" max="4" width="25.44140625" style="67" customWidth="1"/>
    <col min="5" max="5" width="15.88671875" style="67" bestFit="1" customWidth="1"/>
    <col min="6" max="6" width="14.44140625" style="67" bestFit="1" customWidth="1"/>
    <col min="7" max="8" width="12.5546875" style="67" bestFit="1" customWidth="1"/>
    <col min="9" max="9" width="15" style="67" bestFit="1" customWidth="1"/>
    <col min="10" max="10" width="24.5546875" style="67" bestFit="1" customWidth="1"/>
    <col min="11" max="11" width="18.5546875" style="67" bestFit="1" customWidth="1"/>
    <col min="12" max="12" width="16.88671875" style="67" bestFit="1" customWidth="1"/>
    <col min="13" max="13" width="10.5546875" style="67" bestFit="1" customWidth="1"/>
    <col min="14" max="16384" width="8.88671875" style="67"/>
  </cols>
  <sheetData>
    <row r="2" spans="2:5" x14ac:dyDescent="0.25">
      <c r="B2"/>
      <c r="C2"/>
      <c r="D2"/>
    </row>
    <row r="3" spans="2:5" ht="15.6" x14ac:dyDescent="0.3">
      <c r="B3" s="293" t="str">
        <f>'Consolidado- Comber'!B5</f>
        <v>CRONOGRAMA FECHAMENTO - SETEMBRO 2026</v>
      </c>
      <c r="C3" s="293"/>
      <c r="D3" s="293"/>
      <c r="E3" s="68"/>
    </row>
    <row r="4" spans="2:5" ht="15.6" x14ac:dyDescent="0.3">
      <c r="B4" s="71"/>
      <c r="C4" s="71" t="s">
        <v>63</v>
      </c>
      <c r="D4" s="71" t="s">
        <v>64</v>
      </c>
      <c r="E4" s="71" t="s">
        <v>65</v>
      </c>
    </row>
    <row r="5" spans="2:5" ht="3.6" customHeight="1" x14ac:dyDescent="0.25"/>
    <row r="6" spans="2:5" ht="8.1" customHeight="1" x14ac:dyDescent="0.25"/>
    <row r="7" spans="2:5" x14ac:dyDescent="0.25">
      <c r="B7" s="67" t="s">
        <v>66</v>
      </c>
      <c r="C7" s="67" t="s">
        <v>67</v>
      </c>
      <c r="D7" s="85" t="s">
        <v>68</v>
      </c>
      <c r="E7" s="86" t="s">
        <v>69</v>
      </c>
    </row>
    <row r="8" spans="2:5" x14ac:dyDescent="0.25">
      <c r="C8" s="67" t="s">
        <v>70</v>
      </c>
      <c r="D8" s="85" t="s">
        <v>68</v>
      </c>
      <c r="E8" s="86" t="s">
        <v>71</v>
      </c>
    </row>
    <row r="9" spans="2:5" x14ac:dyDescent="0.25">
      <c r="B9" s="67" t="s">
        <v>43</v>
      </c>
      <c r="C9" s="67" t="s">
        <v>42</v>
      </c>
      <c r="D9" s="85" t="s">
        <v>44</v>
      </c>
      <c r="E9" s="86" t="s">
        <v>72</v>
      </c>
    </row>
    <row r="10" spans="2:5" x14ac:dyDescent="0.25">
      <c r="B10" s="67" t="s">
        <v>53</v>
      </c>
      <c r="C10" s="67" t="s">
        <v>53</v>
      </c>
      <c r="D10" s="85" t="s">
        <v>73</v>
      </c>
      <c r="E10" s="86" t="s">
        <v>74</v>
      </c>
    </row>
    <row r="11" spans="2:5" x14ac:dyDescent="0.25">
      <c r="B11" s="67" t="s">
        <v>51</v>
      </c>
      <c r="C11" s="67" t="s">
        <v>50</v>
      </c>
      <c r="D11" s="85" t="s">
        <v>52</v>
      </c>
      <c r="E11" s="86" t="s">
        <v>74</v>
      </c>
    </row>
    <row r="12" spans="2:5" x14ac:dyDescent="0.25">
      <c r="B12" s="67" t="s">
        <v>55</v>
      </c>
      <c r="C12" s="67" t="s">
        <v>54</v>
      </c>
      <c r="D12" s="85" t="s">
        <v>75</v>
      </c>
      <c r="E12" s="86" t="s">
        <v>72</v>
      </c>
    </row>
    <row r="13" spans="2:5" x14ac:dyDescent="0.25">
      <c r="C13" s="67" t="s">
        <v>56</v>
      </c>
      <c r="D13" s="85" t="s">
        <v>76</v>
      </c>
      <c r="E13" s="86" t="s">
        <v>72</v>
      </c>
    </row>
    <row r="14" spans="2:5" x14ac:dyDescent="0.25">
      <c r="C14" s="67" t="s">
        <v>57</v>
      </c>
      <c r="D14" s="85" t="s">
        <v>77</v>
      </c>
      <c r="E14" s="86" t="s">
        <v>72</v>
      </c>
    </row>
    <row r="15" spans="2:5" x14ac:dyDescent="0.25">
      <c r="B15" s="67" t="s">
        <v>61</v>
      </c>
      <c r="C15" s="67" t="s">
        <v>60</v>
      </c>
      <c r="D15" s="85" t="s">
        <v>78</v>
      </c>
      <c r="E15" s="86" t="s">
        <v>79</v>
      </c>
    </row>
    <row r="16" spans="2:5" x14ac:dyDescent="0.25">
      <c r="B16" s="67" t="s">
        <v>59</v>
      </c>
      <c r="C16" s="67" t="s">
        <v>58</v>
      </c>
      <c r="D16" s="85" t="s">
        <v>80</v>
      </c>
      <c r="E16" s="86" t="s">
        <v>72</v>
      </c>
    </row>
    <row r="17" spans="2:11" hidden="1" x14ac:dyDescent="0.25">
      <c r="B17" s="67" t="s">
        <v>47</v>
      </c>
      <c r="C17" s="67" t="s">
        <v>46</v>
      </c>
      <c r="D17" s="85" t="s">
        <v>48</v>
      </c>
      <c r="E17" s="67" t="s">
        <v>74</v>
      </c>
    </row>
    <row r="18" spans="2:11" x14ac:dyDescent="0.25">
      <c r="B18" s="67" t="s">
        <v>81</v>
      </c>
    </row>
    <row r="19" spans="2:11" x14ac:dyDescent="0.25">
      <c r="B19"/>
      <c r="C19"/>
      <c r="D19"/>
      <c r="E19"/>
      <c r="F19"/>
      <c r="G19"/>
      <c r="H19"/>
      <c r="I19"/>
      <c r="J19"/>
      <c r="K19"/>
    </row>
    <row r="22" spans="2:11" x14ac:dyDescent="0.25">
      <c r="B22" s="69"/>
      <c r="C22" s="69"/>
      <c r="D22" s="69"/>
      <c r="E22" s="69"/>
      <c r="F22" s="69"/>
    </row>
  </sheetData>
  <mergeCells count="1">
    <mergeCell ref="B3:D3"/>
  </mergeCell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CA94-3533-4CF2-A581-4CE6FF9CB46F}">
  <dimension ref="B1:I31"/>
  <sheetViews>
    <sheetView showGridLines="0" zoomScale="85" zoomScaleNormal="85" workbookViewId="0">
      <selection activeCell="F30" sqref="A30:XFD30"/>
    </sheetView>
  </sheetViews>
  <sheetFormatPr defaultRowHeight="13.2" outlineLevelRow="1" x14ac:dyDescent="0.25"/>
  <cols>
    <col min="2" max="2" width="13.5546875" bestFit="1" customWidth="1"/>
    <col min="3" max="3" width="26.5546875" bestFit="1" customWidth="1"/>
    <col min="4" max="4" width="19.44140625" bestFit="1" customWidth="1"/>
    <col min="5" max="5" width="18.5546875" bestFit="1" customWidth="1"/>
    <col min="6" max="6" width="6.5546875" bestFit="1" customWidth="1"/>
  </cols>
  <sheetData>
    <row r="1" spans="2:6" outlineLevel="1" x14ac:dyDescent="0.25"/>
    <row r="2" spans="2:6" outlineLevel="1" x14ac:dyDescent="0.25"/>
    <row r="3" spans="2:6" outlineLevel="1" x14ac:dyDescent="0.25">
      <c r="B3" s="87" t="s">
        <v>34</v>
      </c>
      <c r="C3" s="87" t="s">
        <v>33</v>
      </c>
      <c r="D3" s="87" t="s">
        <v>35</v>
      </c>
      <c r="E3" s="87" t="s">
        <v>36</v>
      </c>
      <c r="F3" s="87" t="s">
        <v>82</v>
      </c>
    </row>
    <row r="4" spans="2:6" outlineLevel="1" x14ac:dyDescent="0.25">
      <c r="B4" t="s">
        <v>66</v>
      </c>
      <c r="C4" t="s">
        <v>70</v>
      </c>
      <c r="D4" t="s">
        <v>68</v>
      </c>
      <c r="E4" t="s">
        <v>83</v>
      </c>
      <c r="F4">
        <v>16</v>
      </c>
    </row>
    <row r="5" spans="2:6" outlineLevel="1" x14ac:dyDescent="0.25">
      <c r="B5" t="s">
        <v>66</v>
      </c>
      <c r="C5" t="s">
        <v>67</v>
      </c>
      <c r="D5" t="s">
        <v>68</v>
      </c>
      <c r="E5" t="s">
        <v>84</v>
      </c>
      <c r="F5">
        <v>5</v>
      </c>
    </row>
    <row r="6" spans="2:6" outlineLevel="1" x14ac:dyDescent="0.25">
      <c r="B6" t="s">
        <v>43</v>
      </c>
      <c r="C6" t="s">
        <v>42</v>
      </c>
      <c r="D6" t="s">
        <v>44</v>
      </c>
      <c r="E6" t="s">
        <v>85</v>
      </c>
      <c r="F6">
        <v>4</v>
      </c>
    </row>
    <row r="7" spans="2:6" outlineLevel="1" x14ac:dyDescent="0.25">
      <c r="B7" t="s">
        <v>53</v>
      </c>
      <c r="C7" t="s">
        <v>53</v>
      </c>
      <c r="D7" t="s">
        <v>73</v>
      </c>
      <c r="E7" t="s">
        <v>86</v>
      </c>
      <c r="F7">
        <v>1</v>
      </c>
    </row>
    <row r="8" spans="2:6" outlineLevel="1" x14ac:dyDescent="0.25">
      <c r="B8" t="s">
        <v>51</v>
      </c>
      <c r="C8" t="s">
        <v>50</v>
      </c>
      <c r="D8" t="s">
        <v>52</v>
      </c>
      <c r="E8" t="s">
        <v>86</v>
      </c>
      <c r="F8">
        <v>1</v>
      </c>
    </row>
    <row r="9" spans="2:6" outlineLevel="1" x14ac:dyDescent="0.25">
      <c r="B9" t="s">
        <v>55</v>
      </c>
      <c r="C9" t="s">
        <v>54</v>
      </c>
      <c r="D9" t="s">
        <v>87</v>
      </c>
      <c r="E9" t="s">
        <v>88</v>
      </c>
      <c r="F9">
        <v>2</v>
      </c>
    </row>
    <row r="10" spans="2:6" outlineLevel="1" x14ac:dyDescent="0.25">
      <c r="B10" t="s">
        <v>55</v>
      </c>
      <c r="C10" t="s">
        <v>56</v>
      </c>
      <c r="D10" t="s">
        <v>76</v>
      </c>
      <c r="E10" t="s">
        <v>88</v>
      </c>
      <c r="F10">
        <v>2</v>
      </c>
    </row>
    <row r="11" spans="2:6" outlineLevel="1" x14ac:dyDescent="0.25">
      <c r="B11" t="s">
        <v>55</v>
      </c>
      <c r="C11" t="s">
        <v>56</v>
      </c>
      <c r="D11" t="s">
        <v>89</v>
      </c>
      <c r="E11" t="s">
        <v>88</v>
      </c>
      <c r="F11">
        <v>2</v>
      </c>
    </row>
    <row r="12" spans="2:6" outlineLevel="1" x14ac:dyDescent="0.25">
      <c r="B12" t="s">
        <v>55</v>
      </c>
      <c r="C12" t="s">
        <v>56</v>
      </c>
      <c r="D12" t="s">
        <v>90</v>
      </c>
      <c r="E12" t="s">
        <v>88</v>
      </c>
      <c r="F12">
        <v>2</v>
      </c>
    </row>
    <row r="13" spans="2:6" outlineLevel="1" x14ac:dyDescent="0.25">
      <c r="B13" t="s">
        <v>55</v>
      </c>
      <c r="C13" t="s">
        <v>57</v>
      </c>
      <c r="D13" t="s">
        <v>77</v>
      </c>
      <c r="E13" t="s">
        <v>88</v>
      </c>
      <c r="F13">
        <v>2</v>
      </c>
    </row>
    <row r="14" spans="2:6" outlineLevel="1" x14ac:dyDescent="0.25">
      <c r="B14" t="s">
        <v>61</v>
      </c>
      <c r="C14" t="s">
        <v>60</v>
      </c>
      <c r="D14" t="s">
        <v>78</v>
      </c>
      <c r="E14" t="s">
        <v>91</v>
      </c>
      <c r="F14">
        <v>3</v>
      </c>
    </row>
    <row r="15" spans="2:6" x14ac:dyDescent="0.25">
      <c r="B15" t="s">
        <v>59</v>
      </c>
      <c r="C15" t="s">
        <v>58</v>
      </c>
      <c r="D15" t="s">
        <v>92</v>
      </c>
      <c r="E15" t="s">
        <v>88</v>
      </c>
      <c r="F15">
        <v>2</v>
      </c>
    </row>
    <row r="16" spans="2:6" x14ac:dyDescent="0.25">
      <c r="B16" t="s">
        <v>47</v>
      </c>
      <c r="C16" t="s">
        <v>46</v>
      </c>
      <c r="D16" t="s">
        <v>48</v>
      </c>
      <c r="E16" t="s">
        <v>86</v>
      </c>
      <c r="F16">
        <v>1</v>
      </c>
    </row>
    <row r="17" spans="2:9" ht="13.8" thickBot="1" x14ac:dyDescent="0.3"/>
    <row r="18" spans="2:9" ht="15.9" customHeight="1" outlineLevel="1" thickBot="1" x14ac:dyDescent="0.35">
      <c r="B18" s="88" t="s">
        <v>34</v>
      </c>
      <c r="C18" s="89" t="s">
        <v>33</v>
      </c>
      <c r="D18" s="89" t="s">
        <v>93</v>
      </c>
      <c r="E18" s="90" t="s">
        <v>94</v>
      </c>
      <c r="F18" s="90" t="s">
        <v>82</v>
      </c>
    </row>
    <row r="19" spans="2:9" outlineLevel="1" x14ac:dyDescent="0.25">
      <c r="B19" s="91" t="s">
        <v>53</v>
      </c>
      <c r="C19" t="s">
        <v>53</v>
      </c>
      <c r="D19" t="s">
        <v>73</v>
      </c>
      <c r="E19" s="92" t="s">
        <v>86</v>
      </c>
      <c r="F19" s="93">
        <f>_xlfn.XLOOKUP(C19,$C$4:$C$16,$F$4:$F$16,0,0)</f>
        <v>1</v>
      </c>
      <c r="I19" s="92">
        <f>_xlfn.XLOOKUP(G19,$C$4:$C$16,$E$4:$E$16,0,0)</f>
        <v>0</v>
      </c>
    </row>
    <row r="20" spans="2:9" outlineLevel="1" x14ac:dyDescent="0.25">
      <c r="B20" s="91" t="s">
        <v>51</v>
      </c>
      <c r="C20" t="s">
        <v>50</v>
      </c>
      <c r="D20" t="s">
        <v>52</v>
      </c>
      <c r="E20" s="92" t="s">
        <v>86</v>
      </c>
      <c r="F20" s="93">
        <f t="shared" ref="F20:F31" si="0">_xlfn.XLOOKUP(C20,$C$4:$C$16,$F$4:$F$16,0,0)</f>
        <v>1</v>
      </c>
    </row>
    <row r="21" spans="2:9" outlineLevel="1" x14ac:dyDescent="0.25">
      <c r="B21" s="91" t="s">
        <v>47</v>
      </c>
      <c r="C21" t="s">
        <v>46</v>
      </c>
      <c r="D21" t="s">
        <v>48</v>
      </c>
      <c r="E21" s="92" t="s">
        <v>86</v>
      </c>
      <c r="F21" s="93">
        <f t="shared" si="0"/>
        <v>1</v>
      </c>
    </row>
    <row r="22" spans="2:9" outlineLevel="1" x14ac:dyDescent="0.25">
      <c r="B22" s="91" t="s">
        <v>55</v>
      </c>
      <c r="C22" t="s">
        <v>54</v>
      </c>
      <c r="D22" t="s">
        <v>87</v>
      </c>
      <c r="E22" s="92" t="s">
        <v>88</v>
      </c>
      <c r="F22" s="93">
        <f t="shared" si="0"/>
        <v>2</v>
      </c>
    </row>
    <row r="23" spans="2:9" outlineLevel="1" x14ac:dyDescent="0.25">
      <c r="B23" s="91" t="s">
        <v>55</v>
      </c>
      <c r="C23" t="s">
        <v>56</v>
      </c>
      <c r="D23" t="s">
        <v>76</v>
      </c>
      <c r="E23" s="92" t="s">
        <v>88</v>
      </c>
      <c r="F23" s="93">
        <f t="shared" si="0"/>
        <v>2</v>
      </c>
    </row>
    <row r="24" spans="2:9" outlineLevel="1" x14ac:dyDescent="0.25">
      <c r="B24" s="91" t="s">
        <v>55</v>
      </c>
      <c r="C24" t="s">
        <v>56</v>
      </c>
      <c r="D24" t="s">
        <v>89</v>
      </c>
      <c r="E24" s="92" t="s">
        <v>88</v>
      </c>
      <c r="F24" s="93">
        <f t="shared" si="0"/>
        <v>2</v>
      </c>
    </row>
    <row r="25" spans="2:9" outlineLevel="1" x14ac:dyDescent="0.25">
      <c r="B25" s="91" t="s">
        <v>55</v>
      </c>
      <c r="C25" t="s">
        <v>56</v>
      </c>
      <c r="D25" t="s">
        <v>90</v>
      </c>
      <c r="E25" s="92" t="s">
        <v>88</v>
      </c>
      <c r="F25" s="93">
        <f t="shared" si="0"/>
        <v>2</v>
      </c>
    </row>
    <row r="26" spans="2:9" outlineLevel="1" x14ac:dyDescent="0.25">
      <c r="B26" s="91" t="s">
        <v>55</v>
      </c>
      <c r="C26" t="s">
        <v>57</v>
      </c>
      <c r="D26" t="s">
        <v>77</v>
      </c>
      <c r="E26" s="92" t="s">
        <v>88</v>
      </c>
      <c r="F26" s="93">
        <f t="shared" si="0"/>
        <v>2</v>
      </c>
    </row>
    <row r="27" spans="2:9" outlineLevel="1" x14ac:dyDescent="0.25">
      <c r="B27" s="91" t="s">
        <v>59</v>
      </c>
      <c r="C27" t="s">
        <v>58</v>
      </c>
      <c r="D27" t="s">
        <v>92</v>
      </c>
      <c r="E27" s="92" t="s">
        <v>88</v>
      </c>
      <c r="F27" s="93">
        <f t="shared" si="0"/>
        <v>2</v>
      </c>
    </row>
    <row r="28" spans="2:9" outlineLevel="1" x14ac:dyDescent="0.25">
      <c r="B28" s="91" t="s">
        <v>61</v>
      </c>
      <c r="C28" t="s">
        <v>60</v>
      </c>
      <c r="D28" t="s">
        <v>78</v>
      </c>
      <c r="E28" s="92" t="s">
        <v>91</v>
      </c>
      <c r="F28" s="93">
        <f t="shared" si="0"/>
        <v>3</v>
      </c>
    </row>
    <row r="29" spans="2:9" outlineLevel="1" x14ac:dyDescent="0.25">
      <c r="B29" s="91" t="s">
        <v>43</v>
      </c>
      <c r="C29" t="s">
        <v>42</v>
      </c>
      <c r="D29" t="s">
        <v>44</v>
      </c>
      <c r="E29" s="92" t="s">
        <v>85</v>
      </c>
      <c r="F29" s="93">
        <f t="shared" si="0"/>
        <v>4</v>
      </c>
    </row>
    <row r="30" spans="2:9" outlineLevel="1" x14ac:dyDescent="0.25">
      <c r="B30" s="91" t="s">
        <v>66</v>
      </c>
      <c r="C30" t="s">
        <v>67</v>
      </c>
      <c r="D30" t="s">
        <v>68</v>
      </c>
      <c r="E30" s="92" t="s">
        <v>84</v>
      </c>
      <c r="F30" s="93">
        <f t="shared" si="0"/>
        <v>5</v>
      </c>
    </row>
    <row r="31" spans="2:9" ht="12.9" customHeight="1" outlineLevel="1" thickBot="1" x14ac:dyDescent="0.3">
      <c r="B31" s="94" t="s">
        <v>66</v>
      </c>
      <c r="C31" s="95" t="s">
        <v>70</v>
      </c>
      <c r="D31" s="95" t="s">
        <v>68</v>
      </c>
      <c r="E31" s="96" t="s">
        <v>83</v>
      </c>
      <c r="F31" s="97">
        <f t="shared" si="0"/>
        <v>16</v>
      </c>
    </row>
  </sheetData>
  <sortState xmlns:xlrd2="http://schemas.microsoft.com/office/spreadsheetml/2017/richdata2" ref="B19:I30">
    <sortCondition ref="E19:E30"/>
  </sortState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0BEC-A4C9-4445-B846-FBBA31EFA2A7}">
  <dimension ref="A1:B34"/>
  <sheetViews>
    <sheetView workbookViewId="0"/>
  </sheetViews>
  <sheetFormatPr defaultRowHeight="13.2" x14ac:dyDescent="0.25"/>
  <cols>
    <col min="1" max="1" width="26.33203125" bestFit="1" customWidth="1"/>
    <col min="2" max="2" width="14.88671875" bestFit="1" customWidth="1"/>
    <col min="3" max="3" width="25.109375" bestFit="1" customWidth="1"/>
  </cols>
  <sheetData>
    <row r="1" spans="1:2" x14ac:dyDescent="0.25">
      <c r="A1" s="87" t="s">
        <v>38</v>
      </c>
      <c r="B1" t="s">
        <v>95</v>
      </c>
    </row>
    <row r="2" spans="1:2" x14ac:dyDescent="0.25">
      <c r="A2" s="87" t="s">
        <v>36</v>
      </c>
      <c r="B2" t="s">
        <v>96</v>
      </c>
    </row>
    <row r="4" spans="1:2" x14ac:dyDescent="0.25">
      <c r="A4" s="87" t="s">
        <v>97</v>
      </c>
    </row>
    <row r="5" spans="1:2" x14ac:dyDescent="0.25">
      <c r="A5" s="109" t="s">
        <v>66</v>
      </c>
    </row>
    <row r="6" spans="1:2" x14ac:dyDescent="0.25">
      <c r="A6" s="110" t="s">
        <v>67</v>
      </c>
    </row>
    <row r="7" spans="1:2" x14ac:dyDescent="0.25">
      <c r="A7" s="111" t="s">
        <v>68</v>
      </c>
    </row>
    <row r="8" spans="1:2" x14ac:dyDescent="0.25">
      <c r="A8" s="109" t="s">
        <v>43</v>
      </c>
    </row>
    <row r="9" spans="1:2" x14ac:dyDescent="0.25">
      <c r="A9" s="110" t="s">
        <v>42</v>
      </c>
    </row>
    <row r="10" spans="1:2" x14ac:dyDescent="0.25">
      <c r="A10" s="111" t="s">
        <v>44</v>
      </c>
    </row>
    <row r="11" spans="1:2" x14ac:dyDescent="0.25">
      <c r="A11" s="109" t="s">
        <v>53</v>
      </c>
    </row>
    <row r="12" spans="1:2" x14ac:dyDescent="0.25">
      <c r="A12" s="110" t="s">
        <v>53</v>
      </c>
    </row>
    <row r="13" spans="1:2" x14ac:dyDescent="0.25">
      <c r="A13" s="111" t="s">
        <v>73</v>
      </c>
    </row>
    <row r="14" spans="1:2" x14ac:dyDescent="0.25">
      <c r="A14" s="109" t="s">
        <v>51</v>
      </c>
    </row>
    <row r="15" spans="1:2" x14ac:dyDescent="0.25">
      <c r="A15" s="110" t="s">
        <v>50</v>
      </c>
    </row>
    <row r="16" spans="1:2" x14ac:dyDescent="0.25">
      <c r="A16" s="111" t="s">
        <v>52</v>
      </c>
    </row>
    <row r="17" spans="1:1" x14ac:dyDescent="0.25">
      <c r="A17" s="109" t="s">
        <v>55</v>
      </c>
    </row>
    <row r="18" spans="1:1" x14ac:dyDescent="0.25">
      <c r="A18" s="110" t="s">
        <v>98</v>
      </c>
    </row>
    <row r="19" spans="1:1" x14ac:dyDescent="0.25">
      <c r="A19" s="111" t="s">
        <v>99</v>
      </c>
    </row>
    <row r="20" spans="1:1" x14ac:dyDescent="0.25">
      <c r="A20" s="110" t="s">
        <v>54</v>
      </c>
    </row>
    <row r="21" spans="1:1" x14ac:dyDescent="0.25">
      <c r="A21" s="111" t="s">
        <v>100</v>
      </c>
    </row>
    <row r="22" spans="1:1" x14ac:dyDescent="0.25">
      <c r="A22" s="110" t="s">
        <v>56</v>
      </c>
    </row>
    <row r="23" spans="1:1" x14ac:dyDescent="0.25">
      <c r="A23" s="111" t="s">
        <v>99</v>
      </c>
    </row>
    <row r="24" spans="1:1" x14ac:dyDescent="0.25">
      <c r="A24" s="111" t="s">
        <v>90</v>
      </c>
    </row>
    <row r="25" spans="1:1" x14ac:dyDescent="0.25">
      <c r="A25" s="110" t="s">
        <v>57</v>
      </c>
    </row>
    <row r="26" spans="1:1" x14ac:dyDescent="0.25">
      <c r="A26" s="111" t="s">
        <v>99</v>
      </c>
    </row>
    <row r="27" spans="1:1" x14ac:dyDescent="0.25">
      <c r="A27" s="111" t="s">
        <v>77</v>
      </c>
    </row>
    <row r="28" spans="1:1" x14ac:dyDescent="0.25">
      <c r="A28" s="109" t="s">
        <v>61</v>
      </c>
    </row>
    <row r="29" spans="1:1" x14ac:dyDescent="0.25">
      <c r="A29" s="110" t="s">
        <v>60</v>
      </c>
    </row>
    <row r="30" spans="1:1" x14ac:dyDescent="0.25">
      <c r="A30" s="111" t="s">
        <v>78</v>
      </c>
    </row>
    <row r="31" spans="1:1" x14ac:dyDescent="0.25">
      <c r="A31" s="109" t="s">
        <v>47</v>
      </c>
    </row>
    <row r="32" spans="1:1" x14ac:dyDescent="0.25">
      <c r="A32" s="110" t="s">
        <v>46</v>
      </c>
    </row>
    <row r="33" spans="1:1" x14ac:dyDescent="0.25">
      <c r="A33" s="111" t="s">
        <v>48</v>
      </c>
    </row>
    <row r="34" spans="1:1" x14ac:dyDescent="0.25">
      <c r="A34" s="109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5651-9DDF-4CA8-8A3C-DBB4CA0C4E10}">
  <sheetPr>
    <pageSetUpPr fitToPage="1"/>
  </sheetPr>
  <dimension ref="A1:O146"/>
  <sheetViews>
    <sheetView showGridLines="0" zoomScale="85" zoomScaleNormal="85" zoomScaleSheetLayoutView="80" workbookViewId="0">
      <pane xSplit="1" ySplit="7" topLeftCell="B10" activePane="bottomRight" state="frozen"/>
      <selection pane="topRight" activeCell="K50" sqref="K50"/>
      <selection pane="bottomLeft" activeCell="K50" sqref="K50"/>
      <selection pane="bottomRight" activeCell="G7" sqref="G7"/>
    </sheetView>
  </sheetViews>
  <sheetFormatPr defaultColWidth="11.44140625" defaultRowHeight="15.6" x14ac:dyDescent="0.25"/>
  <cols>
    <col min="1" max="1" width="3.5546875" style="5" customWidth="1"/>
    <col min="2" max="2" width="9.88671875" style="5" customWidth="1"/>
    <col min="3" max="3" width="24.88671875" style="5" bestFit="1" customWidth="1"/>
    <col min="4" max="4" width="34.5546875" style="55" customWidth="1"/>
    <col min="5" max="5" width="19.88671875" style="5" customWidth="1"/>
    <col min="6" max="6" width="25.44140625" style="5" customWidth="1"/>
    <col min="7" max="7" width="30.5546875" style="45" customWidth="1"/>
    <col min="8" max="8" width="14" style="5" bestFit="1" customWidth="1"/>
    <col min="9" max="9" width="1" style="5" customWidth="1"/>
    <col min="10" max="10" width="19.5546875" style="5" customWidth="1"/>
    <col min="11" max="11" width="13.5546875" style="5" customWidth="1"/>
    <col min="12" max="12" width="1.44140625" style="5" customWidth="1"/>
    <col min="13" max="13" width="27.88671875" style="5" customWidth="1"/>
    <col min="14" max="14" width="4.5546875" style="5" customWidth="1"/>
    <col min="15" max="15" width="16" style="5" customWidth="1"/>
    <col min="16" max="16384" width="11.44140625" style="5"/>
  </cols>
  <sheetData>
    <row r="1" spans="1:15" x14ac:dyDescent="0.25">
      <c r="A1" s="5">
        <f>TEXT(_xlfn.TEXTAFTER(B5,"- "),"m")+1</f>
        <v>10</v>
      </c>
    </row>
    <row r="3" spans="1:15" x14ac:dyDescent="0.25">
      <c r="D3" s="50"/>
      <c r="E3" s="83" t="s">
        <v>101</v>
      </c>
      <c r="F3" s="83"/>
      <c r="G3" s="83"/>
      <c r="H3" s="83"/>
      <c r="I3" s="83"/>
      <c r="J3" s="83"/>
      <c r="K3" s="82"/>
    </row>
    <row r="4" spans="1:15" ht="16.2" thickBot="1" x14ac:dyDescent="0.3">
      <c r="D4" s="51"/>
      <c r="E4" s="7"/>
      <c r="F4" s="7"/>
      <c r="G4" s="44"/>
      <c r="H4" s="7"/>
    </row>
    <row r="5" spans="1:15" ht="16.2" thickBot="1" x14ac:dyDescent="0.3">
      <c r="B5" s="104" t="s">
        <v>212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82"/>
      <c r="O5" s="107"/>
    </row>
    <row r="6" spans="1:15" x14ac:dyDescent="0.25">
      <c r="D6" s="51"/>
      <c r="E6" s="7"/>
      <c r="F6" s="7"/>
      <c r="G6" s="44"/>
      <c r="H6" s="7"/>
    </row>
    <row r="7" spans="1:15" ht="31.2" x14ac:dyDescent="0.25">
      <c r="B7" s="38" t="s">
        <v>32</v>
      </c>
      <c r="C7" s="38" t="s">
        <v>102</v>
      </c>
      <c r="D7" s="39" t="s">
        <v>33</v>
      </c>
      <c r="E7" s="38" t="s">
        <v>34</v>
      </c>
      <c r="F7" s="38" t="s">
        <v>35</v>
      </c>
      <c r="G7" s="38" t="s">
        <v>36</v>
      </c>
      <c r="H7" s="39" t="s">
        <v>37</v>
      </c>
      <c r="I7" s="98" t="s">
        <v>103</v>
      </c>
      <c r="J7" s="39" t="s">
        <v>38</v>
      </c>
      <c r="K7" s="39" t="s">
        <v>39</v>
      </c>
      <c r="L7" s="98" t="s">
        <v>103</v>
      </c>
      <c r="M7" s="99" t="s">
        <v>104</v>
      </c>
      <c r="N7" s="98" t="s">
        <v>103</v>
      </c>
      <c r="O7" s="39" t="s">
        <v>82</v>
      </c>
    </row>
    <row r="8" spans="1:15" x14ac:dyDescent="0.3">
      <c r="A8"/>
      <c r="B8" s="11">
        <v>1</v>
      </c>
      <c r="C8" s="11" t="s">
        <v>105</v>
      </c>
      <c r="D8" s="52" t="s">
        <v>42</v>
      </c>
      <c r="E8" s="52" t="s">
        <v>43</v>
      </c>
      <c r="F8" s="29" t="s">
        <v>44</v>
      </c>
      <c r="G8" s="43" t="str">
        <f>$O8&amp;"º dia útil - "&amp;TEXT(_xlfn.XLOOKUP($A$1&amp;"|"&amp;$O8,ListBox!$H:$H,ListBox!$A:$A,0,0),"DD/MMM")</f>
        <v>4º dia útil - 06/out</v>
      </c>
      <c r="H8" s="15">
        <v>0.75</v>
      </c>
      <c r="J8" s="46"/>
      <c r="K8" s="15"/>
      <c r="M8" s="15"/>
      <c r="O8" s="84">
        <v>4</v>
      </c>
    </row>
    <row r="9" spans="1:15" x14ac:dyDescent="0.3">
      <c r="A9"/>
      <c r="B9" s="11">
        <v>2</v>
      </c>
      <c r="C9" s="11" t="s">
        <v>105</v>
      </c>
      <c r="D9" s="52" t="s">
        <v>46</v>
      </c>
      <c r="E9" s="47" t="s">
        <v>47</v>
      </c>
      <c r="F9" s="29" t="s">
        <v>106</v>
      </c>
      <c r="G9" s="43">
        <v>46295</v>
      </c>
      <c r="H9" s="15">
        <v>0.75</v>
      </c>
      <c r="J9" s="49"/>
      <c r="K9" s="48"/>
      <c r="M9" s="15"/>
      <c r="O9" s="84">
        <v>1</v>
      </c>
    </row>
    <row r="10" spans="1:15" x14ac:dyDescent="0.3">
      <c r="A10"/>
      <c r="B10" s="11">
        <v>3</v>
      </c>
      <c r="C10" s="11" t="s">
        <v>105</v>
      </c>
      <c r="D10" s="52" t="s">
        <v>50</v>
      </c>
      <c r="E10" s="47" t="s">
        <v>51</v>
      </c>
      <c r="F10" s="29" t="s">
        <v>52</v>
      </c>
      <c r="G10" s="43">
        <v>46295</v>
      </c>
      <c r="H10" s="15">
        <v>0.75</v>
      </c>
      <c r="J10" s="49"/>
      <c r="K10" s="48"/>
      <c r="M10" s="15"/>
      <c r="O10" s="84">
        <v>1</v>
      </c>
    </row>
    <row r="11" spans="1:15" x14ac:dyDescent="0.3">
      <c r="A11"/>
      <c r="B11" s="11">
        <v>1</v>
      </c>
      <c r="C11" s="11" t="s">
        <v>105</v>
      </c>
      <c r="D11" s="52" t="s">
        <v>42</v>
      </c>
      <c r="E11" s="52" t="s">
        <v>43</v>
      </c>
      <c r="F11" s="29" t="s">
        <v>44</v>
      </c>
      <c r="G11" s="43" t="str">
        <f>$O11&amp;"º dia útil - "&amp;TEXT(_xlfn.XLOOKUP($A$1&amp;"|"&amp;$O11,ListBox!$H:$H,ListBox!$A:$A,0,0),"DD/MMM")</f>
        <v>4º dia útil - 06/out</v>
      </c>
      <c r="H11" s="15">
        <v>0.75</v>
      </c>
      <c r="J11" s="49"/>
      <c r="K11" s="15"/>
      <c r="M11" s="15"/>
      <c r="O11" s="84">
        <v>4</v>
      </c>
    </row>
    <row r="12" spans="1:15" x14ac:dyDescent="0.3">
      <c r="A12"/>
      <c r="B12" s="11">
        <v>2</v>
      </c>
      <c r="C12" s="11" t="s">
        <v>105</v>
      </c>
      <c r="D12" s="52" t="s">
        <v>46</v>
      </c>
      <c r="E12" s="47" t="s">
        <v>47</v>
      </c>
      <c r="F12" s="29" t="s">
        <v>106</v>
      </c>
      <c r="G12" s="43">
        <v>46295</v>
      </c>
      <c r="H12" s="15">
        <v>0.75</v>
      </c>
      <c r="J12" s="49"/>
      <c r="K12" s="48"/>
      <c r="M12" s="15"/>
      <c r="O12" s="84">
        <v>1</v>
      </c>
    </row>
    <row r="13" spans="1:15" x14ac:dyDescent="0.3">
      <c r="A13"/>
      <c r="B13" s="11">
        <v>3</v>
      </c>
      <c r="C13" s="11" t="s">
        <v>105</v>
      </c>
      <c r="D13" s="52" t="s">
        <v>50</v>
      </c>
      <c r="E13" s="47" t="s">
        <v>51</v>
      </c>
      <c r="F13" s="29" t="s">
        <v>52</v>
      </c>
      <c r="G13" s="43">
        <v>46295</v>
      </c>
      <c r="H13" s="15">
        <v>0.75</v>
      </c>
      <c r="J13" s="49"/>
      <c r="K13" s="48"/>
      <c r="M13" s="15"/>
      <c r="O13" s="84">
        <v>1</v>
      </c>
    </row>
    <row r="14" spans="1:15" x14ac:dyDescent="0.3">
      <c r="A14"/>
      <c r="B14" s="11">
        <v>4</v>
      </c>
      <c r="C14" s="11" t="s">
        <v>105</v>
      </c>
      <c r="D14" s="52" t="s">
        <v>53</v>
      </c>
      <c r="E14" s="52" t="s">
        <v>53</v>
      </c>
      <c r="F14" s="29" t="s">
        <v>73</v>
      </c>
      <c r="G14" s="43">
        <v>46295</v>
      </c>
      <c r="H14" s="15">
        <v>0.75</v>
      </c>
      <c r="J14" s="49"/>
      <c r="K14" s="48"/>
      <c r="M14" s="15"/>
      <c r="O14" s="84">
        <v>1</v>
      </c>
    </row>
    <row r="15" spans="1:15" x14ac:dyDescent="0.25">
      <c r="A15"/>
      <c r="B15" s="11">
        <v>5</v>
      </c>
      <c r="C15" s="11" t="s">
        <v>105</v>
      </c>
      <c r="D15" s="53" t="s">
        <v>54</v>
      </c>
      <c r="E15" s="54" t="s">
        <v>55</v>
      </c>
      <c r="F15" s="32" t="s">
        <v>100</v>
      </c>
      <c r="G15" s="43" t="str">
        <f>$O15&amp;"º dia útil - "&amp;TEXT(_xlfn.XLOOKUP($A$1&amp;"|"&amp;$O15,ListBox!$H:$H,ListBox!$A:$A,0,0),"DD/MMM")</f>
        <v>3º dia útil - 05/out</v>
      </c>
      <c r="H15" s="15">
        <v>0.75</v>
      </c>
      <c r="J15" s="49"/>
      <c r="K15" s="15"/>
      <c r="M15" s="15"/>
      <c r="O15" s="84">
        <v>3</v>
      </c>
    </row>
    <row r="16" spans="1:15" x14ac:dyDescent="0.3">
      <c r="A16"/>
      <c r="B16" s="11">
        <v>6</v>
      </c>
      <c r="C16" s="11" t="s">
        <v>105</v>
      </c>
      <c r="D16" s="29" t="s">
        <v>56</v>
      </c>
      <c r="E16" s="54" t="s">
        <v>55</v>
      </c>
      <c r="F16" s="32" t="s">
        <v>90</v>
      </c>
      <c r="G16" s="43" t="str">
        <f>$O16&amp;"º dia útil - "&amp;TEXT(_xlfn.XLOOKUP($A$1&amp;"|"&amp;$O16,ListBox!$H:$H,ListBox!$A:$A,0,0),"DD/MMM")</f>
        <v>3º dia útil - 05/out</v>
      </c>
      <c r="H16" s="15">
        <v>0.75</v>
      </c>
      <c r="J16" s="49"/>
      <c r="K16" s="48"/>
      <c r="M16" s="15"/>
      <c r="O16" s="84">
        <v>3</v>
      </c>
    </row>
    <row r="17" spans="1:15" x14ac:dyDescent="0.3">
      <c r="A17"/>
      <c r="B17" s="11">
        <v>7</v>
      </c>
      <c r="C17" s="11" t="s">
        <v>105</v>
      </c>
      <c r="D17" s="52" t="s">
        <v>57</v>
      </c>
      <c r="E17" s="54" t="s">
        <v>55</v>
      </c>
      <c r="F17" s="32" t="s">
        <v>77</v>
      </c>
      <c r="G17" s="43" t="str">
        <f>$O17&amp;"º dia útil - "&amp;TEXT(_xlfn.XLOOKUP($A$1&amp;"|"&amp;$O17,ListBox!$H:$H,ListBox!$A:$A,0,0),"DD/MMM")</f>
        <v>3º dia útil - 05/out</v>
      </c>
      <c r="H17" s="15">
        <v>0.75</v>
      </c>
      <c r="J17" s="49"/>
      <c r="K17" s="65"/>
      <c r="M17" s="15"/>
      <c r="O17" s="84">
        <v>3</v>
      </c>
    </row>
    <row r="18" spans="1:15" x14ac:dyDescent="0.3">
      <c r="A18"/>
      <c r="B18" s="11">
        <v>8</v>
      </c>
      <c r="C18" s="11" t="s">
        <v>105</v>
      </c>
      <c r="D18" s="32" t="s">
        <v>58</v>
      </c>
      <c r="E18" s="47" t="s">
        <v>59</v>
      </c>
      <c r="F18" s="29" t="s">
        <v>107</v>
      </c>
      <c r="G18" s="43" t="str">
        <f>$O18&amp;"º dia útil - "&amp;TEXT(_xlfn.XLOOKUP($A$1&amp;"|"&amp;$O18,ListBox!$H:$H,ListBox!$A:$A,0,0),"DD/MMM")</f>
        <v>3º dia útil - 05/out</v>
      </c>
      <c r="H18" s="15">
        <v>0.75</v>
      </c>
      <c r="J18" s="49"/>
      <c r="K18" s="48"/>
      <c r="M18" s="15"/>
      <c r="O18" s="84">
        <v>3</v>
      </c>
    </row>
    <row r="19" spans="1:15" x14ac:dyDescent="0.3">
      <c r="A19"/>
      <c r="B19" s="11">
        <v>9</v>
      </c>
      <c r="C19" s="11" t="s">
        <v>105</v>
      </c>
      <c r="D19" s="29" t="s">
        <v>60</v>
      </c>
      <c r="E19" s="47" t="s">
        <v>61</v>
      </c>
      <c r="F19" s="47" t="s">
        <v>108</v>
      </c>
      <c r="G19" s="43" t="str">
        <f>$O19&amp;"º dia útil - "&amp;TEXT(_xlfn.XLOOKUP($A$1&amp;"|"&amp;$O19,ListBox!$H:$H,ListBox!$A:$A,0,0),"DD/MMM")</f>
        <v>7º dia útil - 09/out</v>
      </c>
      <c r="H19" s="15">
        <v>0.75</v>
      </c>
      <c r="J19" s="49"/>
      <c r="K19" s="34"/>
      <c r="M19" s="103"/>
      <c r="O19" s="84">
        <v>7</v>
      </c>
    </row>
    <row r="20" spans="1:15" x14ac:dyDescent="0.3">
      <c r="A20"/>
      <c r="B20" s="11">
        <v>1</v>
      </c>
      <c r="C20" s="11" t="s">
        <v>109</v>
      </c>
      <c r="D20" s="52" t="s">
        <v>42</v>
      </c>
      <c r="E20" s="52" t="s">
        <v>43</v>
      </c>
      <c r="F20" s="29" t="s">
        <v>44</v>
      </c>
      <c r="G20" s="43" t="str">
        <f>$O20&amp;"º dia útil - "&amp;TEXT(_xlfn.XLOOKUP($A$1&amp;"|"&amp;$O20,ListBox!$H:$H,ListBox!$A:$A,0,0),"DD/MMM")</f>
        <v>4º dia útil - 06/out</v>
      </c>
      <c r="H20" s="15">
        <v>0.75</v>
      </c>
      <c r="J20" s="49"/>
      <c r="K20" s="15"/>
      <c r="M20" s="15"/>
      <c r="O20" s="84">
        <v>4</v>
      </c>
    </row>
    <row r="21" spans="1:15" x14ac:dyDescent="0.3">
      <c r="A21"/>
      <c r="B21" s="11">
        <v>2</v>
      </c>
      <c r="C21" s="11" t="s">
        <v>109</v>
      </c>
      <c r="D21" s="52" t="s">
        <v>46</v>
      </c>
      <c r="E21" s="47" t="s">
        <v>47</v>
      </c>
      <c r="F21" s="29" t="s">
        <v>106</v>
      </c>
      <c r="G21" s="43">
        <v>46295</v>
      </c>
      <c r="H21" s="15">
        <v>0.75</v>
      </c>
      <c r="J21" s="49"/>
      <c r="K21" s="48"/>
      <c r="M21" s="15"/>
      <c r="O21" s="84">
        <v>1</v>
      </c>
    </row>
    <row r="22" spans="1:15" x14ac:dyDescent="0.3">
      <c r="A22"/>
      <c r="B22" s="11">
        <v>3</v>
      </c>
      <c r="C22" s="11" t="s">
        <v>109</v>
      </c>
      <c r="D22" s="52" t="s">
        <v>50</v>
      </c>
      <c r="E22" s="47" t="s">
        <v>51</v>
      </c>
      <c r="F22" s="29" t="s">
        <v>52</v>
      </c>
      <c r="G22" s="43">
        <v>46295</v>
      </c>
      <c r="H22" s="15">
        <v>0.75</v>
      </c>
      <c r="J22" s="49"/>
      <c r="K22" s="48"/>
      <c r="M22" s="15"/>
      <c r="O22" s="84">
        <v>1</v>
      </c>
    </row>
    <row r="23" spans="1:15" x14ac:dyDescent="0.3">
      <c r="A23"/>
      <c r="B23" s="11">
        <v>1</v>
      </c>
      <c r="C23" s="11" t="s">
        <v>109</v>
      </c>
      <c r="D23" s="52" t="s">
        <v>42</v>
      </c>
      <c r="E23" s="52" t="s">
        <v>43</v>
      </c>
      <c r="F23" s="29" t="s">
        <v>44</v>
      </c>
      <c r="G23" s="43" t="str">
        <f>$O23&amp;"º dia útil - "&amp;TEXT(_xlfn.XLOOKUP($A$1&amp;"|"&amp;$O23,ListBox!$H:$H,ListBox!$A:$A,0,0),"DD/MMM")</f>
        <v>4º dia útil - 06/out</v>
      </c>
      <c r="H23" s="15">
        <v>0.75</v>
      </c>
      <c r="J23" s="49"/>
      <c r="K23" s="15"/>
      <c r="M23" s="15"/>
      <c r="O23" s="84">
        <v>4</v>
      </c>
    </row>
    <row r="24" spans="1:15" x14ac:dyDescent="0.3">
      <c r="A24"/>
      <c r="B24" s="11">
        <v>2</v>
      </c>
      <c r="C24" s="11" t="s">
        <v>109</v>
      </c>
      <c r="D24" s="52" t="s">
        <v>46</v>
      </c>
      <c r="E24" s="47" t="s">
        <v>47</v>
      </c>
      <c r="F24" s="29" t="s">
        <v>106</v>
      </c>
      <c r="G24" s="43">
        <v>46295</v>
      </c>
      <c r="H24" s="15">
        <v>0.75</v>
      </c>
      <c r="J24" s="49"/>
      <c r="K24" s="48"/>
      <c r="M24" s="15"/>
      <c r="O24" s="84">
        <v>1</v>
      </c>
    </row>
    <row r="25" spans="1:15" x14ac:dyDescent="0.3">
      <c r="A25"/>
      <c r="B25" s="11">
        <v>3</v>
      </c>
      <c r="C25" s="11" t="s">
        <v>109</v>
      </c>
      <c r="D25" s="52" t="s">
        <v>50</v>
      </c>
      <c r="E25" s="47" t="s">
        <v>51</v>
      </c>
      <c r="F25" s="29" t="s">
        <v>52</v>
      </c>
      <c r="G25" s="43">
        <v>46295</v>
      </c>
      <c r="H25" s="15">
        <v>0.75</v>
      </c>
      <c r="J25" s="49"/>
      <c r="K25" s="48"/>
      <c r="M25" s="15"/>
      <c r="O25" s="84">
        <v>1</v>
      </c>
    </row>
    <row r="26" spans="1:15" x14ac:dyDescent="0.3">
      <c r="A26"/>
      <c r="B26" s="11">
        <v>4</v>
      </c>
      <c r="C26" s="11" t="s">
        <v>109</v>
      </c>
      <c r="D26" s="52" t="s">
        <v>53</v>
      </c>
      <c r="E26" s="52" t="s">
        <v>53</v>
      </c>
      <c r="F26" s="29" t="s">
        <v>73</v>
      </c>
      <c r="G26" s="43">
        <v>46295</v>
      </c>
      <c r="H26" s="15">
        <v>0.75</v>
      </c>
      <c r="J26" s="49"/>
      <c r="K26" s="48"/>
      <c r="M26" s="15"/>
      <c r="O26" s="84">
        <v>1</v>
      </c>
    </row>
    <row r="27" spans="1:15" x14ac:dyDescent="0.25">
      <c r="A27"/>
      <c r="B27" s="11">
        <v>5</v>
      </c>
      <c r="C27" s="11" t="s">
        <v>109</v>
      </c>
      <c r="D27" s="53" t="s">
        <v>54</v>
      </c>
      <c r="E27" s="54" t="s">
        <v>55</v>
      </c>
      <c r="F27" s="32" t="s">
        <v>100</v>
      </c>
      <c r="G27" s="43" t="str">
        <f>$O27&amp;"º dia útil - "&amp;TEXT(_xlfn.XLOOKUP($A$1&amp;"|"&amp;$O27,ListBox!$H:$H,ListBox!$A:$A,0,0),"DD/MMM")</f>
        <v>3º dia útil - 05/out</v>
      </c>
      <c r="H27" s="15">
        <v>0.75</v>
      </c>
      <c r="J27" s="49"/>
      <c r="K27" s="15"/>
      <c r="M27" s="15"/>
      <c r="O27" s="84">
        <v>3</v>
      </c>
    </row>
    <row r="28" spans="1:15" x14ac:dyDescent="0.3">
      <c r="A28"/>
      <c r="B28" s="11">
        <v>6</v>
      </c>
      <c r="C28" s="11" t="s">
        <v>109</v>
      </c>
      <c r="D28" s="29" t="s">
        <v>56</v>
      </c>
      <c r="E28" s="54" t="s">
        <v>55</v>
      </c>
      <c r="F28" s="32" t="s">
        <v>90</v>
      </c>
      <c r="G28" s="43" t="str">
        <f>$O28&amp;"º dia útil - "&amp;TEXT(_xlfn.XLOOKUP($A$1&amp;"|"&amp;$O28,ListBox!$H:$H,ListBox!$A:$A,0,0),"DD/MMM")</f>
        <v>3º dia útil - 05/out</v>
      </c>
      <c r="H28" s="15">
        <v>0.75</v>
      </c>
      <c r="J28" s="49"/>
      <c r="K28" s="48"/>
      <c r="M28" s="15"/>
      <c r="O28" s="84">
        <v>3</v>
      </c>
    </row>
    <row r="29" spans="1:15" x14ac:dyDescent="0.3">
      <c r="A29"/>
      <c r="B29" s="11">
        <v>7</v>
      </c>
      <c r="C29" s="11" t="s">
        <v>109</v>
      </c>
      <c r="D29" s="52" t="s">
        <v>57</v>
      </c>
      <c r="E29" s="54" t="s">
        <v>55</v>
      </c>
      <c r="F29" s="32" t="s">
        <v>77</v>
      </c>
      <c r="G29" s="43" t="str">
        <f>$O29&amp;"º dia útil - "&amp;TEXT(_xlfn.XLOOKUP($A$1&amp;"|"&amp;$O29,ListBox!$H:$H,ListBox!$A:$A,0,0),"DD/MMM")</f>
        <v>3º dia útil - 05/out</v>
      </c>
      <c r="H29" s="15">
        <v>0.75</v>
      </c>
      <c r="J29" s="49"/>
      <c r="K29" s="108"/>
      <c r="M29" s="15"/>
      <c r="O29" s="84">
        <v>3</v>
      </c>
    </row>
    <row r="30" spans="1:15" x14ac:dyDescent="0.3">
      <c r="A30"/>
      <c r="B30" s="11">
        <v>8</v>
      </c>
      <c r="C30" s="11" t="s">
        <v>109</v>
      </c>
      <c r="D30" s="32" t="s">
        <v>58</v>
      </c>
      <c r="E30" s="47" t="s">
        <v>59</v>
      </c>
      <c r="F30" s="29" t="s">
        <v>107</v>
      </c>
      <c r="G30" s="43" t="str">
        <f>$O30&amp;"º dia útil - "&amp;TEXT(_xlfn.XLOOKUP($A$1&amp;"|"&amp;$O30,ListBox!$H:$H,ListBox!$A:$A,0,0),"DD/MMM")</f>
        <v>3º dia útil - 05/out</v>
      </c>
      <c r="H30" s="15">
        <v>0.75</v>
      </c>
      <c r="J30" s="49"/>
      <c r="K30" s="48"/>
      <c r="M30" s="15"/>
      <c r="O30" s="84">
        <v>3</v>
      </c>
    </row>
    <row r="31" spans="1:15" x14ac:dyDescent="0.3">
      <c r="A31"/>
      <c r="B31" s="11">
        <v>9</v>
      </c>
      <c r="C31" s="11" t="s">
        <v>109</v>
      </c>
      <c r="D31" s="29" t="s">
        <v>60</v>
      </c>
      <c r="E31" s="47" t="s">
        <v>61</v>
      </c>
      <c r="F31" s="47" t="s">
        <v>108</v>
      </c>
      <c r="G31" s="43" t="str">
        <f>$O31&amp;"º dia útil - "&amp;TEXT(_xlfn.XLOOKUP($A$1&amp;"|"&amp;$O31,ListBox!$H:$H,ListBox!$A:$A,0,0),"DD/MMM")</f>
        <v>7º dia útil - 09/out</v>
      </c>
      <c r="H31" s="15">
        <v>0.75</v>
      </c>
      <c r="J31" s="49"/>
      <c r="K31" s="34"/>
      <c r="M31" s="103"/>
      <c r="O31" s="84">
        <v>7</v>
      </c>
    </row>
    <row r="32" spans="1:15" x14ac:dyDescent="0.3">
      <c r="A32"/>
      <c r="B32" s="11">
        <v>1</v>
      </c>
      <c r="C32" s="11" t="s">
        <v>110</v>
      </c>
      <c r="D32" s="52" t="s">
        <v>42</v>
      </c>
      <c r="E32" s="52" t="s">
        <v>43</v>
      </c>
      <c r="F32" s="29" t="s">
        <v>44</v>
      </c>
      <c r="G32" s="43" t="str">
        <f>$O32&amp;"º dia útil - "&amp;TEXT(_xlfn.XLOOKUP($A$1&amp;"|"&amp;$O32,ListBox!$H:$H,ListBox!$A:$A,0,0),"DD/MMM")</f>
        <v>4º dia útil - 06/out</v>
      </c>
      <c r="H32" s="15">
        <v>0.75</v>
      </c>
      <c r="J32" s="49"/>
      <c r="K32" s="15"/>
      <c r="M32" s="15"/>
      <c r="O32" s="84">
        <v>4</v>
      </c>
    </row>
    <row r="33" spans="1:15" x14ac:dyDescent="0.3">
      <c r="A33"/>
      <c r="B33" s="11">
        <v>2</v>
      </c>
      <c r="C33" s="11" t="s">
        <v>110</v>
      </c>
      <c r="D33" s="52" t="s">
        <v>46</v>
      </c>
      <c r="E33" s="47" t="s">
        <v>47</v>
      </c>
      <c r="F33" s="29" t="s">
        <v>106</v>
      </c>
      <c r="G33" s="43">
        <v>46295</v>
      </c>
      <c r="H33" s="15">
        <v>0.75</v>
      </c>
      <c r="J33" s="49"/>
      <c r="K33" s="48"/>
      <c r="M33" s="15"/>
      <c r="O33" s="84">
        <v>1</v>
      </c>
    </row>
    <row r="34" spans="1:15" x14ac:dyDescent="0.3">
      <c r="A34"/>
      <c r="B34" s="11">
        <v>3</v>
      </c>
      <c r="C34" s="11" t="s">
        <v>110</v>
      </c>
      <c r="D34" s="52" t="s">
        <v>50</v>
      </c>
      <c r="E34" s="47" t="s">
        <v>51</v>
      </c>
      <c r="F34" s="29" t="s">
        <v>52</v>
      </c>
      <c r="G34" s="43">
        <v>46295</v>
      </c>
      <c r="H34" s="15">
        <v>0.75</v>
      </c>
      <c r="J34" s="49"/>
      <c r="K34" s="48"/>
      <c r="M34" s="15"/>
      <c r="O34" s="84">
        <v>1</v>
      </c>
    </row>
    <row r="35" spans="1:15" x14ac:dyDescent="0.3">
      <c r="A35"/>
      <c r="B35" s="11">
        <v>1</v>
      </c>
      <c r="C35" s="11" t="s">
        <v>110</v>
      </c>
      <c r="D35" s="52" t="s">
        <v>42</v>
      </c>
      <c r="E35" s="52" t="s">
        <v>43</v>
      </c>
      <c r="F35" s="29" t="s">
        <v>44</v>
      </c>
      <c r="G35" s="43" t="str">
        <f>$O35&amp;"º dia útil - "&amp;TEXT(_xlfn.XLOOKUP($A$1&amp;"|"&amp;$O35,ListBox!$H:$H,ListBox!$A:$A,0,0),"DD/MMM")</f>
        <v>4º dia útil - 06/out</v>
      </c>
      <c r="H35" s="15">
        <v>0.75</v>
      </c>
      <c r="J35" s="49"/>
      <c r="K35" s="15"/>
      <c r="M35" s="15"/>
      <c r="O35" s="84">
        <v>4</v>
      </c>
    </row>
    <row r="36" spans="1:15" x14ac:dyDescent="0.3">
      <c r="A36"/>
      <c r="B36" s="11">
        <v>2</v>
      </c>
      <c r="C36" s="11" t="s">
        <v>110</v>
      </c>
      <c r="D36" s="52" t="s">
        <v>46</v>
      </c>
      <c r="E36" s="47" t="s">
        <v>47</v>
      </c>
      <c r="F36" s="29" t="s">
        <v>106</v>
      </c>
      <c r="G36" s="43">
        <v>46295</v>
      </c>
      <c r="H36" s="15">
        <v>0.75</v>
      </c>
      <c r="J36" s="49"/>
      <c r="K36" s="48"/>
      <c r="M36" s="15"/>
      <c r="O36" s="84">
        <v>1</v>
      </c>
    </row>
    <row r="37" spans="1:15" x14ac:dyDescent="0.3">
      <c r="A37"/>
      <c r="B37" s="11">
        <v>3</v>
      </c>
      <c r="C37" s="11" t="s">
        <v>110</v>
      </c>
      <c r="D37" s="52" t="s">
        <v>50</v>
      </c>
      <c r="E37" s="47" t="s">
        <v>51</v>
      </c>
      <c r="F37" s="29" t="s">
        <v>52</v>
      </c>
      <c r="G37" s="43">
        <v>46295</v>
      </c>
      <c r="H37" s="15">
        <v>0.75</v>
      </c>
      <c r="J37" s="49"/>
      <c r="K37" s="48"/>
      <c r="M37" s="15"/>
      <c r="O37" s="84">
        <v>1</v>
      </c>
    </row>
    <row r="38" spans="1:15" x14ac:dyDescent="0.3">
      <c r="A38"/>
      <c r="B38" s="11">
        <v>4</v>
      </c>
      <c r="C38" s="11" t="s">
        <v>110</v>
      </c>
      <c r="D38" s="52" t="s">
        <v>53</v>
      </c>
      <c r="E38" s="52" t="s">
        <v>53</v>
      </c>
      <c r="F38" s="29" t="s">
        <v>73</v>
      </c>
      <c r="G38" s="43">
        <v>46295</v>
      </c>
      <c r="H38" s="15">
        <v>0.75</v>
      </c>
      <c r="J38" s="49"/>
      <c r="K38" s="48"/>
      <c r="M38" s="15"/>
      <c r="O38" s="84">
        <v>1</v>
      </c>
    </row>
    <row r="39" spans="1:15" x14ac:dyDescent="0.25">
      <c r="A39"/>
      <c r="B39" s="11">
        <v>5</v>
      </c>
      <c r="C39" s="11" t="s">
        <v>110</v>
      </c>
      <c r="D39" s="53" t="s">
        <v>54</v>
      </c>
      <c r="E39" s="54" t="s">
        <v>55</v>
      </c>
      <c r="F39" s="32" t="s">
        <v>100</v>
      </c>
      <c r="G39" s="43" t="str">
        <f>$O39&amp;"º dia útil - "&amp;TEXT(_xlfn.XLOOKUP($A$1&amp;"|"&amp;$O39,ListBox!$H:$H,ListBox!$A:$A,0,0),"DD/MMM")</f>
        <v>3º dia útil - 05/out</v>
      </c>
      <c r="H39" s="15">
        <v>0.75</v>
      </c>
      <c r="J39" s="49"/>
      <c r="K39" s="15"/>
      <c r="M39" s="15"/>
      <c r="O39" s="84">
        <v>3</v>
      </c>
    </row>
    <row r="40" spans="1:15" x14ac:dyDescent="0.3">
      <c r="A40"/>
      <c r="B40" s="11">
        <v>6</v>
      </c>
      <c r="C40" s="11" t="s">
        <v>110</v>
      </c>
      <c r="D40" s="29" t="s">
        <v>56</v>
      </c>
      <c r="E40" s="54" t="s">
        <v>55</v>
      </c>
      <c r="F40" s="32" t="s">
        <v>90</v>
      </c>
      <c r="G40" s="43" t="str">
        <f>$O40&amp;"º dia útil - "&amp;TEXT(_xlfn.XLOOKUP($A$1&amp;"|"&amp;$O40,ListBox!$H:$H,ListBox!$A:$A,0,0),"DD/MMM")</f>
        <v>3º dia útil - 05/out</v>
      </c>
      <c r="H40" s="15">
        <v>0.75</v>
      </c>
      <c r="J40" s="49"/>
      <c r="K40" s="48"/>
      <c r="M40" s="15"/>
      <c r="O40" s="84">
        <v>3</v>
      </c>
    </row>
    <row r="41" spans="1:15" x14ac:dyDescent="0.3">
      <c r="A41"/>
      <c r="B41" s="11">
        <v>7</v>
      </c>
      <c r="C41" s="11" t="s">
        <v>110</v>
      </c>
      <c r="D41" s="52" t="s">
        <v>57</v>
      </c>
      <c r="E41" s="54" t="s">
        <v>55</v>
      </c>
      <c r="F41" s="32" t="s">
        <v>77</v>
      </c>
      <c r="G41" s="43" t="str">
        <f>$O41&amp;"º dia útil - "&amp;TEXT(_xlfn.XLOOKUP($A$1&amp;"|"&amp;$O41,ListBox!$H:$H,ListBox!$A:$A,0,0),"DD/MMM")</f>
        <v>3º dia útil - 05/out</v>
      </c>
      <c r="H41" s="15">
        <v>0.75</v>
      </c>
      <c r="J41" s="49"/>
      <c r="K41" s="108"/>
      <c r="M41" s="15"/>
      <c r="O41" s="84">
        <v>3</v>
      </c>
    </row>
    <row r="42" spans="1:15" x14ac:dyDescent="0.3">
      <c r="A42"/>
      <c r="B42" s="11">
        <v>8</v>
      </c>
      <c r="C42" s="11" t="s">
        <v>110</v>
      </c>
      <c r="D42" s="32" t="s">
        <v>58</v>
      </c>
      <c r="E42" s="47" t="s">
        <v>59</v>
      </c>
      <c r="F42" s="29" t="s">
        <v>107</v>
      </c>
      <c r="G42" s="43" t="str">
        <f>$O42&amp;"º dia útil - "&amp;TEXT(_xlfn.XLOOKUP($A$1&amp;"|"&amp;$O42,ListBox!$H:$H,ListBox!$A:$A,0,0),"DD/MMM")</f>
        <v>3º dia útil - 05/out</v>
      </c>
      <c r="H42" s="15">
        <v>0.75</v>
      </c>
      <c r="J42" s="49"/>
      <c r="K42" s="48"/>
      <c r="M42" s="15"/>
      <c r="O42" s="84">
        <v>3</v>
      </c>
    </row>
    <row r="43" spans="1:15" x14ac:dyDescent="0.3">
      <c r="A43"/>
      <c r="B43" s="11">
        <v>9</v>
      </c>
      <c r="C43" s="11" t="s">
        <v>110</v>
      </c>
      <c r="D43" s="29" t="s">
        <v>60</v>
      </c>
      <c r="E43" s="47" t="s">
        <v>61</v>
      </c>
      <c r="F43" s="47" t="s">
        <v>108</v>
      </c>
      <c r="G43" s="43" t="str">
        <f>$O43&amp;"º dia útil - "&amp;TEXT(_xlfn.XLOOKUP($A$1&amp;"|"&amp;$O43,ListBox!$H:$H,ListBox!$A:$A,0,0),"DD/MMM")</f>
        <v>7º dia útil - 09/out</v>
      </c>
      <c r="H43" s="15">
        <v>0.75</v>
      </c>
      <c r="J43" s="49"/>
      <c r="K43" s="101"/>
      <c r="L43" s="100"/>
      <c r="M43" s="103"/>
      <c r="O43" s="84">
        <v>7</v>
      </c>
    </row>
    <row r="44" spans="1:15" x14ac:dyDescent="0.3">
      <c r="A44"/>
      <c r="B44" s="11">
        <v>1</v>
      </c>
      <c r="C44" s="11" t="s">
        <v>111</v>
      </c>
      <c r="D44" s="52" t="s">
        <v>42</v>
      </c>
      <c r="E44" s="52" t="s">
        <v>43</v>
      </c>
      <c r="F44" s="29" t="s">
        <v>44</v>
      </c>
      <c r="G44" s="43" t="str">
        <f>$O44&amp;"º dia útil - "&amp;TEXT(_xlfn.XLOOKUP($A$1&amp;"|"&amp;$O44,ListBox!$H:$H,ListBox!$A:$A,0,0),"DD/MMM")</f>
        <v>4º dia útil - 06/out</v>
      </c>
      <c r="H44" s="15">
        <v>0.75</v>
      </c>
      <c r="J44" s="49"/>
      <c r="K44" s="101"/>
      <c r="L44" s="100"/>
      <c r="M44" s="15"/>
      <c r="O44" s="84">
        <v>4</v>
      </c>
    </row>
    <row r="45" spans="1:15" x14ac:dyDescent="0.3">
      <c r="A45"/>
      <c r="B45" s="11">
        <v>2</v>
      </c>
      <c r="C45" s="11" t="s">
        <v>111</v>
      </c>
      <c r="D45" s="52" t="s">
        <v>46</v>
      </c>
      <c r="E45" s="47" t="s">
        <v>47</v>
      </c>
      <c r="F45" s="29" t="s">
        <v>106</v>
      </c>
      <c r="G45" s="43">
        <v>46295</v>
      </c>
      <c r="H45" s="15">
        <v>0.75</v>
      </c>
      <c r="J45" s="49"/>
      <c r="K45" s="48"/>
      <c r="L45" s="100"/>
      <c r="M45" s="102"/>
      <c r="O45" s="84">
        <v>1</v>
      </c>
    </row>
    <row r="46" spans="1:15" x14ac:dyDescent="0.3">
      <c r="A46"/>
      <c r="B46" s="11">
        <v>3</v>
      </c>
      <c r="C46" s="11" t="s">
        <v>111</v>
      </c>
      <c r="D46" s="52" t="s">
        <v>50</v>
      </c>
      <c r="E46" s="47" t="s">
        <v>51</v>
      </c>
      <c r="F46" s="29" t="s">
        <v>52</v>
      </c>
      <c r="G46" s="43">
        <v>46295</v>
      </c>
      <c r="H46" s="15">
        <v>0.75</v>
      </c>
      <c r="J46" s="49"/>
      <c r="K46" s="101"/>
      <c r="L46" s="100"/>
      <c r="M46" s="102"/>
      <c r="O46" s="84">
        <v>1</v>
      </c>
    </row>
    <row r="47" spans="1:15" x14ac:dyDescent="0.3">
      <c r="A47"/>
      <c r="B47" s="11">
        <v>1</v>
      </c>
      <c r="C47" s="11" t="s">
        <v>111</v>
      </c>
      <c r="D47" s="52" t="s">
        <v>42</v>
      </c>
      <c r="E47" s="52" t="s">
        <v>43</v>
      </c>
      <c r="F47" s="29" t="s">
        <v>44</v>
      </c>
      <c r="G47" s="43" t="str">
        <f>$O47&amp;"º dia útil - "&amp;TEXT(_xlfn.XLOOKUP($A$1&amp;"|"&amp;$O47,ListBox!$H:$H,ListBox!$A:$A,0,0),"DD/MMM")</f>
        <v>4º dia útil - 06/out</v>
      </c>
      <c r="H47" s="15">
        <v>0.75</v>
      </c>
      <c r="J47" s="49"/>
      <c r="K47" s="101"/>
      <c r="L47" s="100"/>
      <c r="M47" s="15"/>
      <c r="O47" s="84">
        <v>4</v>
      </c>
    </row>
    <row r="48" spans="1:15" x14ac:dyDescent="0.3">
      <c r="A48"/>
      <c r="B48" s="11">
        <v>2</v>
      </c>
      <c r="C48" s="11" t="s">
        <v>111</v>
      </c>
      <c r="D48" s="52" t="s">
        <v>46</v>
      </c>
      <c r="E48" s="47" t="s">
        <v>47</v>
      </c>
      <c r="F48" s="29" t="s">
        <v>106</v>
      </c>
      <c r="G48" s="43">
        <v>46295</v>
      </c>
      <c r="H48" s="15">
        <v>0.75</v>
      </c>
      <c r="J48" s="49"/>
      <c r="K48" s="48"/>
      <c r="M48" s="15"/>
      <c r="O48" s="84">
        <v>1</v>
      </c>
    </row>
    <row r="49" spans="1:15" x14ac:dyDescent="0.3">
      <c r="A49"/>
      <c r="B49" s="11">
        <v>3</v>
      </c>
      <c r="C49" s="11" t="s">
        <v>111</v>
      </c>
      <c r="D49" s="52" t="s">
        <v>50</v>
      </c>
      <c r="E49" s="47" t="s">
        <v>51</v>
      </c>
      <c r="F49" s="29" t="s">
        <v>52</v>
      </c>
      <c r="G49" s="43">
        <v>46295</v>
      </c>
      <c r="H49" s="15">
        <v>0.75</v>
      </c>
      <c r="J49" s="49"/>
      <c r="K49" s="48"/>
      <c r="M49" s="15"/>
      <c r="O49" s="84">
        <v>1</v>
      </c>
    </row>
    <row r="50" spans="1:15" x14ac:dyDescent="0.3">
      <c r="A50"/>
      <c r="B50" s="11">
        <v>4</v>
      </c>
      <c r="C50" s="11" t="s">
        <v>111</v>
      </c>
      <c r="D50" s="52" t="s">
        <v>53</v>
      </c>
      <c r="E50" s="52" t="s">
        <v>53</v>
      </c>
      <c r="F50" s="29" t="s">
        <v>73</v>
      </c>
      <c r="G50" s="43">
        <v>46295</v>
      </c>
      <c r="H50" s="15">
        <v>0.75</v>
      </c>
      <c r="J50" s="49"/>
      <c r="K50" s="48"/>
      <c r="M50" s="15"/>
      <c r="O50" s="84">
        <v>1</v>
      </c>
    </row>
    <row r="51" spans="1:15" x14ac:dyDescent="0.25">
      <c r="A51"/>
      <c r="B51" s="11">
        <v>5</v>
      </c>
      <c r="C51" s="11" t="s">
        <v>111</v>
      </c>
      <c r="D51" s="53" t="s">
        <v>54</v>
      </c>
      <c r="E51" s="54" t="s">
        <v>55</v>
      </c>
      <c r="F51" s="32" t="s">
        <v>100</v>
      </c>
      <c r="G51" s="43" t="str">
        <f>$O51&amp;"º dia útil - "&amp;TEXT(_xlfn.XLOOKUP($A$1&amp;"|"&amp;$O51,ListBox!$H:$H,ListBox!$A:$A,0,0),"DD/MMM")</f>
        <v>3º dia útil - 05/out</v>
      </c>
      <c r="H51" s="15">
        <v>0.75</v>
      </c>
      <c r="J51" s="49"/>
      <c r="K51" s="48"/>
      <c r="M51" s="15"/>
      <c r="O51" s="84">
        <v>3</v>
      </c>
    </row>
    <row r="52" spans="1:15" x14ac:dyDescent="0.3">
      <c r="A52"/>
      <c r="B52" s="11">
        <v>6</v>
      </c>
      <c r="C52" s="11" t="s">
        <v>111</v>
      </c>
      <c r="D52" s="29" t="s">
        <v>56</v>
      </c>
      <c r="E52" s="54" t="s">
        <v>55</v>
      </c>
      <c r="F52" s="32" t="s">
        <v>90</v>
      </c>
      <c r="G52" s="43" t="str">
        <f>$O52&amp;"º dia útil - "&amp;TEXT(_xlfn.XLOOKUP($A$1&amp;"|"&amp;$O52,ListBox!$H:$H,ListBox!$A:$A,0,0),"DD/MMM")</f>
        <v>3º dia útil - 05/out</v>
      </c>
      <c r="H52" s="15">
        <v>0.75</v>
      </c>
      <c r="J52" s="49"/>
      <c r="K52" s="48"/>
      <c r="M52" s="15"/>
      <c r="O52" s="84">
        <v>3</v>
      </c>
    </row>
    <row r="53" spans="1:15" x14ac:dyDescent="0.3">
      <c r="A53"/>
      <c r="B53" s="11">
        <v>7</v>
      </c>
      <c r="C53" s="11" t="s">
        <v>111</v>
      </c>
      <c r="D53" s="52" t="s">
        <v>57</v>
      </c>
      <c r="E53" s="54" t="s">
        <v>55</v>
      </c>
      <c r="F53" s="32" t="s">
        <v>77</v>
      </c>
      <c r="G53" s="43" t="str">
        <f>$O53&amp;"º dia útil - "&amp;TEXT(_xlfn.XLOOKUP($A$1&amp;"|"&amp;$O53,ListBox!$H:$H,ListBox!$A:$A,0,0),"DD/MMM")</f>
        <v>3º dia útil - 05/out</v>
      </c>
      <c r="H53" s="15">
        <v>0.75</v>
      </c>
      <c r="J53" s="49"/>
      <c r="K53" s="108"/>
      <c r="M53" s="15"/>
      <c r="O53" s="84">
        <v>3</v>
      </c>
    </row>
    <row r="54" spans="1:15" x14ac:dyDescent="0.3">
      <c r="A54"/>
      <c r="B54" s="11">
        <v>8</v>
      </c>
      <c r="C54" s="11" t="s">
        <v>111</v>
      </c>
      <c r="D54" s="32" t="s">
        <v>58</v>
      </c>
      <c r="E54" s="47" t="s">
        <v>59</v>
      </c>
      <c r="F54" s="29" t="s">
        <v>107</v>
      </c>
      <c r="G54" s="43" t="str">
        <f>$O54&amp;"º dia útil - "&amp;TEXT(_xlfn.XLOOKUP($A$1&amp;"|"&amp;$O54,ListBox!$H:$H,ListBox!$A:$A,0,0),"DD/MMM")</f>
        <v>3º dia útil - 05/out</v>
      </c>
      <c r="H54" s="15">
        <v>0.75</v>
      </c>
      <c r="J54" s="49"/>
      <c r="K54" s="48"/>
      <c r="M54" s="15"/>
      <c r="O54" s="84">
        <v>3</v>
      </c>
    </row>
    <row r="55" spans="1:15" x14ac:dyDescent="0.3">
      <c r="A55"/>
      <c r="B55" s="11">
        <v>9</v>
      </c>
      <c r="C55" s="11" t="s">
        <v>111</v>
      </c>
      <c r="D55" s="29" t="s">
        <v>60</v>
      </c>
      <c r="E55" s="47" t="s">
        <v>61</v>
      </c>
      <c r="F55" s="47" t="s">
        <v>108</v>
      </c>
      <c r="G55" s="43" t="str">
        <f>$O55&amp;"º dia útil - "&amp;TEXT(_xlfn.XLOOKUP($A$1&amp;"|"&amp;$O55,ListBox!$H:$H,ListBox!$A:$A,0,0),"DD/MMM")</f>
        <v>7º dia útil - 09/out</v>
      </c>
      <c r="H55" s="15">
        <v>0.75</v>
      </c>
      <c r="J55" s="49"/>
      <c r="K55" s="101"/>
      <c r="M55" s="34"/>
      <c r="O55" s="84">
        <v>7</v>
      </c>
    </row>
    <row r="56" spans="1:15" x14ac:dyDescent="0.3">
      <c r="A56"/>
      <c r="B56" s="11">
        <v>1</v>
      </c>
      <c r="C56" s="11" t="s">
        <v>112</v>
      </c>
      <c r="D56" s="52" t="s">
        <v>42</v>
      </c>
      <c r="E56" s="52" t="s">
        <v>43</v>
      </c>
      <c r="F56" s="29" t="s">
        <v>44</v>
      </c>
      <c r="G56" s="43" t="str">
        <f>$O56&amp;"º dia útil - "&amp;TEXT(_xlfn.XLOOKUP($A$1&amp;"|"&amp;$O56,ListBox!$H:$H,ListBox!$A:$A,0,0),"DD/MMM")</f>
        <v>4º dia útil - 06/out</v>
      </c>
      <c r="H56" s="15">
        <v>0.75</v>
      </c>
      <c r="J56" s="49"/>
      <c r="K56" s="15"/>
      <c r="M56" s="15"/>
      <c r="O56" s="84">
        <v>4</v>
      </c>
    </row>
    <row r="57" spans="1:15" x14ac:dyDescent="0.3">
      <c r="A57"/>
      <c r="B57" s="11">
        <v>2</v>
      </c>
      <c r="C57" s="11" t="s">
        <v>112</v>
      </c>
      <c r="D57" s="52" t="s">
        <v>46</v>
      </c>
      <c r="E57" s="47" t="s">
        <v>47</v>
      </c>
      <c r="F57" s="29" t="s">
        <v>106</v>
      </c>
      <c r="G57" s="43">
        <v>46295</v>
      </c>
      <c r="H57" s="15">
        <v>0.75</v>
      </c>
      <c r="J57" s="49"/>
      <c r="K57" s="48"/>
      <c r="M57" s="15"/>
      <c r="O57" s="84">
        <v>1</v>
      </c>
    </row>
    <row r="58" spans="1:15" x14ac:dyDescent="0.3">
      <c r="A58"/>
      <c r="B58" s="11">
        <v>3</v>
      </c>
      <c r="C58" s="11" t="s">
        <v>112</v>
      </c>
      <c r="D58" s="52" t="s">
        <v>50</v>
      </c>
      <c r="E58" s="47" t="s">
        <v>51</v>
      </c>
      <c r="F58" s="29" t="s">
        <v>52</v>
      </c>
      <c r="G58" s="43">
        <v>46295</v>
      </c>
      <c r="H58" s="15">
        <v>0.75</v>
      </c>
      <c r="J58" s="49"/>
      <c r="K58" s="48"/>
      <c r="M58" s="15"/>
      <c r="O58" s="84">
        <v>1</v>
      </c>
    </row>
    <row r="59" spans="1:15" x14ac:dyDescent="0.3">
      <c r="A59"/>
      <c r="B59" s="11">
        <v>1</v>
      </c>
      <c r="C59" s="11" t="s">
        <v>112</v>
      </c>
      <c r="D59" s="52" t="s">
        <v>42</v>
      </c>
      <c r="E59" s="52" t="s">
        <v>43</v>
      </c>
      <c r="F59" s="29" t="s">
        <v>44</v>
      </c>
      <c r="G59" s="43" t="str">
        <f>$O59&amp;"º dia útil - "&amp;TEXT(_xlfn.XLOOKUP($A$1&amp;"|"&amp;$O59,ListBox!$H:$H,ListBox!$A:$A,0,0),"DD/MMM")</f>
        <v>4º dia útil - 06/out</v>
      </c>
      <c r="H59" s="15">
        <v>0.75</v>
      </c>
      <c r="J59" s="49"/>
      <c r="K59" s="15"/>
      <c r="M59" s="15"/>
      <c r="O59" s="84">
        <v>4</v>
      </c>
    </row>
    <row r="60" spans="1:15" x14ac:dyDescent="0.3">
      <c r="A60"/>
      <c r="B60" s="11">
        <v>2</v>
      </c>
      <c r="C60" s="11" t="s">
        <v>112</v>
      </c>
      <c r="D60" s="52" t="s">
        <v>46</v>
      </c>
      <c r="E60" s="47" t="s">
        <v>47</v>
      </c>
      <c r="F60" s="29" t="s">
        <v>106</v>
      </c>
      <c r="G60" s="43">
        <v>46295</v>
      </c>
      <c r="H60" s="15">
        <v>0.75</v>
      </c>
      <c r="J60" s="49"/>
      <c r="K60" s="48"/>
      <c r="M60" s="15"/>
      <c r="O60" s="84">
        <v>1</v>
      </c>
    </row>
    <row r="61" spans="1:15" x14ac:dyDescent="0.3">
      <c r="A61"/>
      <c r="B61" s="11">
        <v>3</v>
      </c>
      <c r="C61" s="11" t="s">
        <v>112</v>
      </c>
      <c r="D61" s="52" t="s">
        <v>50</v>
      </c>
      <c r="E61" s="47" t="s">
        <v>51</v>
      </c>
      <c r="F61" s="29" t="s">
        <v>52</v>
      </c>
      <c r="G61" s="43">
        <v>46295</v>
      </c>
      <c r="H61" s="15">
        <v>0.75</v>
      </c>
      <c r="J61" s="49"/>
      <c r="K61" s="48"/>
      <c r="M61" s="15"/>
      <c r="O61" s="84">
        <v>1</v>
      </c>
    </row>
    <row r="62" spans="1:15" x14ac:dyDescent="0.3">
      <c r="A62"/>
      <c r="B62" s="11">
        <v>4</v>
      </c>
      <c r="C62" s="11" t="s">
        <v>112</v>
      </c>
      <c r="D62" s="52" t="s">
        <v>53</v>
      </c>
      <c r="E62" s="52" t="s">
        <v>53</v>
      </c>
      <c r="F62" s="29" t="s">
        <v>73</v>
      </c>
      <c r="G62" s="43">
        <v>46295</v>
      </c>
      <c r="H62" s="15">
        <v>0.75</v>
      </c>
      <c r="J62" s="49"/>
      <c r="K62" s="48"/>
      <c r="M62" s="15"/>
      <c r="O62" s="84">
        <v>1</v>
      </c>
    </row>
    <row r="63" spans="1:15" x14ac:dyDescent="0.25">
      <c r="A63"/>
      <c r="B63" s="11">
        <v>5</v>
      </c>
      <c r="C63" s="11" t="s">
        <v>112</v>
      </c>
      <c r="D63" s="53" t="s">
        <v>54</v>
      </c>
      <c r="E63" s="54" t="s">
        <v>55</v>
      </c>
      <c r="F63" s="32" t="s">
        <v>100</v>
      </c>
      <c r="G63" s="43" t="str">
        <f>$O63&amp;"º dia útil - "&amp;TEXT(_xlfn.XLOOKUP($A$1&amp;"|"&amp;$O63,ListBox!$H:$H,ListBox!$A:$A,0,0),"DD/MMM")</f>
        <v>3º dia útil - 05/out</v>
      </c>
      <c r="H63" s="15">
        <v>0.75</v>
      </c>
      <c r="J63" s="49"/>
      <c r="K63" s="15"/>
      <c r="M63" s="15"/>
      <c r="O63" s="84">
        <v>3</v>
      </c>
    </row>
    <row r="64" spans="1:15" x14ac:dyDescent="0.3">
      <c r="A64"/>
      <c r="B64" s="11">
        <v>6</v>
      </c>
      <c r="C64" s="11" t="s">
        <v>112</v>
      </c>
      <c r="D64" s="29" t="s">
        <v>56</v>
      </c>
      <c r="E64" s="54" t="s">
        <v>55</v>
      </c>
      <c r="F64" s="32" t="s">
        <v>90</v>
      </c>
      <c r="G64" s="43" t="str">
        <f>$O64&amp;"º dia útil - "&amp;TEXT(_xlfn.XLOOKUP($A$1&amp;"|"&amp;$O64,ListBox!$H:$H,ListBox!$A:$A,0,0),"DD/MMM")</f>
        <v>3º dia útil - 05/out</v>
      </c>
      <c r="H64" s="15">
        <v>0.75</v>
      </c>
      <c r="J64" s="49"/>
      <c r="K64" s="48"/>
      <c r="M64" s="15"/>
      <c r="O64" s="84">
        <v>3</v>
      </c>
    </row>
    <row r="65" spans="1:15" x14ac:dyDescent="0.3">
      <c r="A65"/>
      <c r="B65" s="11">
        <v>7</v>
      </c>
      <c r="C65" s="11" t="s">
        <v>112</v>
      </c>
      <c r="D65" s="52" t="s">
        <v>57</v>
      </c>
      <c r="E65" s="54" t="s">
        <v>55</v>
      </c>
      <c r="F65" s="32" t="s">
        <v>77</v>
      </c>
      <c r="G65" s="43" t="str">
        <f>$O65&amp;"º dia útil - "&amp;TEXT(_xlfn.XLOOKUP($A$1&amp;"|"&amp;$O65,ListBox!$H:$H,ListBox!$A:$A,0,0),"DD/MMM")</f>
        <v>3º dia útil - 05/out</v>
      </c>
      <c r="H65" s="15">
        <v>0.75</v>
      </c>
      <c r="J65" s="49"/>
      <c r="K65" s="65"/>
      <c r="M65" s="15"/>
      <c r="O65" s="84">
        <v>3</v>
      </c>
    </row>
    <row r="66" spans="1:15" x14ac:dyDescent="0.3">
      <c r="A66"/>
      <c r="B66" s="11">
        <v>8</v>
      </c>
      <c r="C66" s="11" t="s">
        <v>112</v>
      </c>
      <c r="D66" s="32" t="s">
        <v>58</v>
      </c>
      <c r="E66" s="47" t="s">
        <v>59</v>
      </c>
      <c r="F66" s="29" t="s">
        <v>107</v>
      </c>
      <c r="G66" s="43" t="str">
        <f>$O66&amp;"º dia útil - "&amp;TEXT(_xlfn.XLOOKUP($A$1&amp;"|"&amp;$O66,ListBox!$H:$H,ListBox!$A:$A,0,0),"DD/MMM")</f>
        <v>3º dia útil - 05/out</v>
      </c>
      <c r="H66" s="15">
        <v>0.75</v>
      </c>
      <c r="J66" s="49"/>
      <c r="K66" s="48"/>
      <c r="M66" s="15"/>
      <c r="O66" s="84">
        <v>3</v>
      </c>
    </row>
    <row r="67" spans="1:15" x14ac:dyDescent="0.3">
      <c r="A67"/>
      <c r="B67" s="11">
        <v>9</v>
      </c>
      <c r="C67" s="11" t="s">
        <v>112</v>
      </c>
      <c r="D67" s="29" t="s">
        <v>60</v>
      </c>
      <c r="E67" s="47" t="s">
        <v>61</v>
      </c>
      <c r="F67" s="47" t="s">
        <v>108</v>
      </c>
      <c r="G67" s="43" t="str">
        <f>$O67&amp;"º dia útil - "&amp;TEXT(_xlfn.XLOOKUP($A$1&amp;"|"&amp;$O67,ListBox!$H:$H,ListBox!$A:$A,0,0),"DD/MMM")</f>
        <v>7º dia útil - 09/out</v>
      </c>
      <c r="H67" s="15">
        <v>0.75</v>
      </c>
      <c r="J67" s="49"/>
      <c r="K67" s="101"/>
      <c r="L67" s="100"/>
      <c r="M67" s="103"/>
      <c r="O67" s="84">
        <v>7</v>
      </c>
    </row>
    <row r="68" spans="1:15" x14ac:dyDescent="0.3">
      <c r="A68"/>
      <c r="B68" s="11">
        <v>1</v>
      </c>
      <c r="C68" s="11" t="s">
        <v>113</v>
      </c>
      <c r="D68" s="52" t="s">
        <v>42</v>
      </c>
      <c r="E68" s="52" t="s">
        <v>43</v>
      </c>
      <c r="F68" s="29" t="s">
        <v>44</v>
      </c>
      <c r="G68" s="43" t="str">
        <f>$O68&amp;"º dia útil - "&amp;TEXT(_xlfn.XLOOKUP($A$1&amp;"|"&amp;$O68,ListBox!$H:$H,ListBox!$A:$A,0,0),"DD/MMM")</f>
        <v>4º dia útil - 06/out</v>
      </c>
      <c r="H68" s="15">
        <v>0.75</v>
      </c>
      <c r="J68" s="49"/>
      <c r="K68" s="15"/>
      <c r="M68" s="15"/>
      <c r="O68" s="84">
        <v>4</v>
      </c>
    </row>
    <row r="69" spans="1:15" x14ac:dyDescent="0.3">
      <c r="A69"/>
      <c r="B69" s="11">
        <v>2</v>
      </c>
      <c r="C69" s="11" t="s">
        <v>113</v>
      </c>
      <c r="D69" s="52" t="s">
        <v>46</v>
      </c>
      <c r="E69" s="47" t="s">
        <v>47</v>
      </c>
      <c r="F69" s="29" t="s">
        <v>106</v>
      </c>
      <c r="G69" s="43">
        <v>46295</v>
      </c>
      <c r="H69" s="15">
        <v>0.75</v>
      </c>
      <c r="J69" s="49"/>
      <c r="K69" s="48"/>
      <c r="M69" s="15"/>
      <c r="O69" s="84">
        <v>1</v>
      </c>
    </row>
    <row r="70" spans="1:15" x14ac:dyDescent="0.3">
      <c r="A70"/>
      <c r="B70" s="11">
        <v>3</v>
      </c>
      <c r="C70" s="11" t="s">
        <v>113</v>
      </c>
      <c r="D70" s="52" t="s">
        <v>50</v>
      </c>
      <c r="E70" s="47" t="s">
        <v>51</v>
      </c>
      <c r="F70" s="29" t="s">
        <v>52</v>
      </c>
      <c r="G70" s="43">
        <v>46295</v>
      </c>
      <c r="H70" s="15">
        <v>0.75</v>
      </c>
      <c r="J70" s="49"/>
      <c r="K70" s="48"/>
      <c r="M70" s="15"/>
      <c r="O70" s="84">
        <v>1</v>
      </c>
    </row>
    <row r="71" spans="1:15" x14ac:dyDescent="0.3">
      <c r="A71"/>
      <c r="B71" s="11">
        <v>1</v>
      </c>
      <c r="C71" s="11" t="s">
        <v>113</v>
      </c>
      <c r="D71" s="52" t="s">
        <v>42</v>
      </c>
      <c r="E71" s="52" t="s">
        <v>43</v>
      </c>
      <c r="F71" s="29" t="s">
        <v>44</v>
      </c>
      <c r="G71" s="43" t="str">
        <f>$O71&amp;"º dia útil - "&amp;TEXT(_xlfn.XLOOKUP($A$1&amp;"|"&amp;$O71,ListBox!$H:$H,ListBox!$A:$A,0,0),"DD/MMM")</f>
        <v>4º dia útil - 06/out</v>
      </c>
      <c r="H71" s="15">
        <v>0.75</v>
      </c>
      <c r="J71" s="49"/>
      <c r="K71" s="15"/>
      <c r="M71" s="15"/>
      <c r="O71" s="84">
        <v>4</v>
      </c>
    </row>
    <row r="72" spans="1:15" x14ac:dyDescent="0.3">
      <c r="A72"/>
      <c r="B72" s="11">
        <v>2</v>
      </c>
      <c r="C72" s="11" t="s">
        <v>113</v>
      </c>
      <c r="D72" s="52" t="s">
        <v>46</v>
      </c>
      <c r="E72" s="47" t="s">
        <v>47</v>
      </c>
      <c r="F72" s="29" t="s">
        <v>106</v>
      </c>
      <c r="G72" s="43">
        <v>46295</v>
      </c>
      <c r="H72" s="15">
        <v>0.75</v>
      </c>
      <c r="J72" s="49"/>
      <c r="K72" s="48"/>
      <c r="M72" s="15"/>
      <c r="O72" s="84">
        <v>1</v>
      </c>
    </row>
    <row r="73" spans="1:15" x14ac:dyDescent="0.3">
      <c r="A73"/>
      <c r="B73" s="11">
        <v>3</v>
      </c>
      <c r="C73" s="11" t="s">
        <v>113</v>
      </c>
      <c r="D73" s="52" t="s">
        <v>50</v>
      </c>
      <c r="E73" s="47" t="s">
        <v>51</v>
      </c>
      <c r="F73" s="29" t="s">
        <v>52</v>
      </c>
      <c r="G73" s="43">
        <v>46295</v>
      </c>
      <c r="H73" s="15">
        <v>0.75</v>
      </c>
      <c r="J73" s="49"/>
      <c r="K73" s="48"/>
      <c r="M73" s="15"/>
      <c r="O73" s="84">
        <v>1</v>
      </c>
    </row>
    <row r="74" spans="1:15" x14ac:dyDescent="0.3">
      <c r="A74"/>
      <c r="B74" s="11">
        <v>4</v>
      </c>
      <c r="C74" s="11" t="s">
        <v>113</v>
      </c>
      <c r="D74" s="52" t="s">
        <v>53</v>
      </c>
      <c r="E74" s="52" t="s">
        <v>53</v>
      </c>
      <c r="F74" s="29" t="s">
        <v>73</v>
      </c>
      <c r="G74" s="43">
        <v>46295</v>
      </c>
      <c r="H74" s="15">
        <v>0.75</v>
      </c>
      <c r="J74" s="49"/>
      <c r="K74" s="48"/>
      <c r="M74" s="15"/>
      <c r="O74" s="84">
        <v>1</v>
      </c>
    </row>
    <row r="75" spans="1:15" x14ac:dyDescent="0.25">
      <c r="A75"/>
      <c r="B75" s="11">
        <v>5</v>
      </c>
      <c r="C75" s="11" t="s">
        <v>113</v>
      </c>
      <c r="D75" s="53" t="s">
        <v>54</v>
      </c>
      <c r="E75" s="54" t="s">
        <v>55</v>
      </c>
      <c r="F75" s="32" t="s">
        <v>100</v>
      </c>
      <c r="G75" s="43" t="str">
        <f>$O75&amp;"º dia útil - "&amp;TEXT(_xlfn.XLOOKUP($A$1&amp;"|"&amp;$O75,ListBox!$H:$H,ListBox!$A:$A,0,0),"DD/MMM")</f>
        <v>3º dia útil - 05/out</v>
      </c>
      <c r="H75" s="15">
        <v>0.75</v>
      </c>
      <c r="J75" s="49"/>
      <c r="K75" s="48"/>
      <c r="M75" s="15"/>
      <c r="O75" s="84">
        <v>3</v>
      </c>
    </row>
    <row r="76" spans="1:15" x14ac:dyDescent="0.3">
      <c r="A76"/>
      <c r="B76" s="11">
        <v>6</v>
      </c>
      <c r="C76" s="11" t="s">
        <v>113</v>
      </c>
      <c r="D76" s="29" t="s">
        <v>56</v>
      </c>
      <c r="E76" s="54" t="s">
        <v>55</v>
      </c>
      <c r="F76" s="32" t="s">
        <v>90</v>
      </c>
      <c r="G76" s="43" t="str">
        <f>$O76&amp;"º dia útil - "&amp;TEXT(_xlfn.XLOOKUP($A$1&amp;"|"&amp;$O76,ListBox!$H:$H,ListBox!$A:$A,0,0),"DD/MMM")</f>
        <v>3º dia útil - 05/out</v>
      </c>
      <c r="H76" s="15">
        <v>0.75</v>
      </c>
      <c r="J76" s="49"/>
      <c r="K76" s="48"/>
      <c r="M76" s="15"/>
      <c r="O76" s="84">
        <v>3</v>
      </c>
    </row>
    <row r="77" spans="1:15" x14ac:dyDescent="0.3">
      <c r="A77"/>
      <c r="B77" s="11">
        <v>7</v>
      </c>
      <c r="C77" s="11" t="s">
        <v>113</v>
      </c>
      <c r="D77" s="52" t="s">
        <v>57</v>
      </c>
      <c r="E77" s="54" t="s">
        <v>55</v>
      </c>
      <c r="F77" s="32" t="s">
        <v>77</v>
      </c>
      <c r="G77" s="43" t="str">
        <f>$O77&amp;"º dia útil - "&amp;TEXT(_xlfn.XLOOKUP($A$1&amp;"|"&amp;$O77,ListBox!$H:$H,ListBox!$A:$A,0,0),"DD/MMM")</f>
        <v>3º dia útil - 05/out</v>
      </c>
      <c r="H77" s="15">
        <v>0.75</v>
      </c>
      <c r="J77" s="49"/>
      <c r="K77" s="65"/>
      <c r="M77" s="15"/>
      <c r="O77" s="84">
        <v>3</v>
      </c>
    </row>
    <row r="78" spans="1:15" x14ac:dyDescent="0.3">
      <c r="A78"/>
      <c r="B78" s="11">
        <v>8</v>
      </c>
      <c r="C78" s="11" t="s">
        <v>113</v>
      </c>
      <c r="D78" s="32" t="s">
        <v>58</v>
      </c>
      <c r="E78" s="47" t="s">
        <v>59</v>
      </c>
      <c r="F78" s="29" t="s">
        <v>107</v>
      </c>
      <c r="G78" s="43" t="str">
        <f>$O78&amp;"º dia útil - "&amp;TEXT(_xlfn.XLOOKUP($A$1&amp;"|"&amp;$O78,ListBox!$H:$H,ListBox!$A:$A,0,0),"DD/MMM")</f>
        <v>3º dia útil - 05/out</v>
      </c>
      <c r="H78" s="15">
        <v>0.75</v>
      </c>
      <c r="J78" s="49"/>
      <c r="K78" s="48"/>
      <c r="M78" s="15"/>
      <c r="O78" s="84">
        <v>3</v>
      </c>
    </row>
    <row r="79" spans="1:15" x14ac:dyDescent="0.3">
      <c r="A79"/>
      <c r="B79" s="11">
        <v>9</v>
      </c>
      <c r="C79" s="11" t="s">
        <v>113</v>
      </c>
      <c r="D79" s="29" t="s">
        <v>60</v>
      </c>
      <c r="E79" s="47" t="s">
        <v>61</v>
      </c>
      <c r="F79" s="47" t="s">
        <v>108</v>
      </c>
      <c r="G79" s="43" t="str">
        <f>$O79&amp;"º dia útil - "&amp;TEXT(_xlfn.XLOOKUP($A$1&amp;"|"&amp;$O79,ListBox!$H:$H,ListBox!$A:$A,0,0),"DD/MMM")</f>
        <v>7º dia útil - 09/out</v>
      </c>
      <c r="H79" s="15">
        <v>0.75</v>
      </c>
      <c r="J79" s="49"/>
      <c r="K79" s="101"/>
      <c r="M79" s="34"/>
      <c r="O79" s="84">
        <v>7</v>
      </c>
    </row>
    <row r="80" spans="1:15" x14ac:dyDescent="0.3">
      <c r="A80"/>
      <c r="B80" s="11">
        <v>9</v>
      </c>
      <c r="C80" s="11" t="s">
        <v>105</v>
      </c>
      <c r="D80" s="29" t="s">
        <v>67</v>
      </c>
      <c r="E80" s="47" t="s">
        <v>66</v>
      </c>
      <c r="F80" s="47" t="s">
        <v>114</v>
      </c>
      <c r="G80" s="43" t="str">
        <f>$O80&amp;"º dia útil - "&amp;TEXT(_xlfn.XLOOKUP($A$1&amp;"|"&amp;$O80,ListBox!$H:$H,ListBox!$A:$A,0,0),"DD/MMM")</f>
        <v>9º dia útil - 14/out</v>
      </c>
      <c r="H80" s="15">
        <v>0.75</v>
      </c>
      <c r="J80" s="49"/>
      <c r="K80" s="34"/>
      <c r="M80" s="34"/>
      <c r="O80" s="84">
        <v>9</v>
      </c>
    </row>
    <row r="81" spans="1:15" x14ac:dyDescent="0.3">
      <c r="A81"/>
      <c r="B81" s="11">
        <v>9</v>
      </c>
      <c r="C81" s="11" t="s">
        <v>109</v>
      </c>
      <c r="D81" s="29" t="s">
        <v>67</v>
      </c>
      <c r="E81" s="47" t="s">
        <v>66</v>
      </c>
      <c r="F81" s="47" t="s">
        <v>114</v>
      </c>
      <c r="G81" s="43" t="str">
        <f>$O81&amp;"º dia útil - "&amp;TEXT(_xlfn.XLOOKUP($A$1&amp;"|"&amp;$O81,ListBox!$H:$H,ListBox!$A:$A,0,0),"DD/MMM")</f>
        <v>9º dia útil - 14/out</v>
      </c>
      <c r="H81" s="15">
        <v>0.75</v>
      </c>
      <c r="J81" s="49"/>
      <c r="K81" s="34"/>
      <c r="M81" s="34"/>
      <c r="O81" s="84">
        <v>9</v>
      </c>
    </row>
    <row r="82" spans="1:15" x14ac:dyDescent="0.3">
      <c r="A82"/>
      <c r="B82" s="11">
        <v>9</v>
      </c>
      <c r="C82" s="11" t="s">
        <v>110</v>
      </c>
      <c r="D82" s="29" t="s">
        <v>67</v>
      </c>
      <c r="E82" s="47" t="s">
        <v>66</v>
      </c>
      <c r="F82" s="47" t="s">
        <v>114</v>
      </c>
      <c r="G82" s="43" t="str">
        <f>$O82&amp;"º dia útil - "&amp;TEXT(_xlfn.XLOOKUP($A$1&amp;"|"&amp;$O82,ListBox!$H:$H,ListBox!$A:$A,0,0),"DD/MMM")</f>
        <v>9º dia útil - 14/out</v>
      </c>
      <c r="H82" s="15">
        <v>0.75</v>
      </c>
      <c r="J82" s="49"/>
      <c r="K82" s="34"/>
      <c r="M82" s="34"/>
      <c r="O82" s="84">
        <v>9</v>
      </c>
    </row>
    <row r="83" spans="1:15" x14ac:dyDescent="0.3">
      <c r="A83"/>
      <c r="B83" s="11">
        <v>9</v>
      </c>
      <c r="C83" s="11" t="s">
        <v>111</v>
      </c>
      <c r="D83" s="29" t="s">
        <v>67</v>
      </c>
      <c r="E83" s="47" t="s">
        <v>66</v>
      </c>
      <c r="F83" s="47" t="s">
        <v>114</v>
      </c>
      <c r="G83" s="43" t="str">
        <f>$O83&amp;"º dia útil - "&amp;TEXT(_xlfn.XLOOKUP($A$1&amp;"|"&amp;$O83,ListBox!$H:$H,ListBox!$A:$A,0,0),"DD/MMM")</f>
        <v>9º dia útil - 14/out</v>
      </c>
      <c r="H83" s="15">
        <v>0.75</v>
      </c>
      <c r="J83" s="49"/>
      <c r="K83" s="34"/>
      <c r="M83" s="34"/>
      <c r="O83" s="84">
        <v>9</v>
      </c>
    </row>
    <row r="84" spans="1:15" x14ac:dyDescent="0.3">
      <c r="A84"/>
      <c r="B84" s="11">
        <v>9</v>
      </c>
      <c r="C84" s="11" t="s">
        <v>112</v>
      </c>
      <c r="D84" s="29" t="s">
        <v>67</v>
      </c>
      <c r="E84" s="47" t="s">
        <v>66</v>
      </c>
      <c r="F84" s="47" t="s">
        <v>114</v>
      </c>
      <c r="G84" s="43" t="str">
        <f>$O84&amp;"º dia útil - "&amp;TEXT(_xlfn.XLOOKUP($A$1&amp;"|"&amp;$O84,ListBox!$H:$H,ListBox!$A:$A,0,0),"DD/MMM")</f>
        <v>9º dia útil - 14/out</v>
      </c>
      <c r="H84" s="15">
        <v>0.75</v>
      </c>
      <c r="J84" s="49"/>
      <c r="K84" s="70"/>
      <c r="M84" s="34"/>
      <c r="O84" s="84">
        <v>9</v>
      </c>
    </row>
    <row r="85" spans="1:15" x14ac:dyDescent="0.3">
      <c r="A85"/>
      <c r="B85" s="11">
        <v>9</v>
      </c>
      <c r="C85" s="11" t="s">
        <v>113</v>
      </c>
      <c r="D85" s="29" t="s">
        <v>67</v>
      </c>
      <c r="E85" s="47" t="s">
        <v>66</v>
      </c>
      <c r="F85" s="47" t="s">
        <v>114</v>
      </c>
      <c r="G85" s="43" t="str">
        <f>$O85&amp;"º dia útil - "&amp;TEXT(_xlfn.XLOOKUP($A$1&amp;"|"&amp;$O85,ListBox!$H:$H,ListBox!$A:$A,0,0),"DD/MMM")</f>
        <v>9º dia útil - 14/out</v>
      </c>
      <c r="H85" s="15">
        <v>0.75</v>
      </c>
      <c r="J85" s="49"/>
      <c r="K85" s="34"/>
      <c r="M85" s="34"/>
      <c r="O85" s="84">
        <v>9</v>
      </c>
    </row>
    <row r="86" spans="1:15" x14ac:dyDescent="0.3">
      <c r="A86"/>
      <c r="B86" s="11">
        <v>9</v>
      </c>
      <c r="C86" s="11" t="s">
        <v>105</v>
      </c>
      <c r="D86" s="29" t="s">
        <v>70</v>
      </c>
      <c r="E86" s="47" t="s">
        <v>66</v>
      </c>
      <c r="F86" s="47" t="s">
        <v>114</v>
      </c>
      <c r="G86" s="43" t="str">
        <f>$O86&amp;"º dia útil - "&amp;TEXT(_xlfn.XLOOKUP($A$1&amp;"|"&amp;$O86,ListBox!$H:$H,ListBox!$A:$A,0,0),"DD/MMM")</f>
        <v>15º dia útil - 22/out</v>
      </c>
      <c r="H86" s="15">
        <v>0.75</v>
      </c>
      <c r="J86" s="49"/>
      <c r="K86" s="34"/>
      <c r="M86" s="34"/>
      <c r="O86" s="84">
        <v>15</v>
      </c>
    </row>
    <row r="87" spans="1:15" x14ac:dyDescent="0.3">
      <c r="A87"/>
      <c r="B87" s="11">
        <v>9</v>
      </c>
      <c r="C87" s="11" t="s">
        <v>109</v>
      </c>
      <c r="D87" s="29" t="s">
        <v>70</v>
      </c>
      <c r="E87" s="47" t="s">
        <v>66</v>
      </c>
      <c r="F87" s="47" t="s">
        <v>114</v>
      </c>
      <c r="G87" s="43" t="str">
        <f>$O87&amp;"º dia útil - "&amp;TEXT(_xlfn.XLOOKUP($A$1&amp;"|"&amp;$O87,ListBox!$H:$H,ListBox!$A:$A,0,0),"DD/MMM")</f>
        <v>15º dia útil - 22/out</v>
      </c>
      <c r="H87" s="15">
        <v>0.75</v>
      </c>
      <c r="J87" s="49"/>
      <c r="K87" s="34"/>
      <c r="M87" s="34"/>
      <c r="O87" s="84">
        <v>15</v>
      </c>
    </row>
    <row r="88" spans="1:15" x14ac:dyDescent="0.3">
      <c r="A88"/>
      <c r="B88" s="11">
        <v>9</v>
      </c>
      <c r="C88" s="11" t="s">
        <v>110</v>
      </c>
      <c r="D88" s="29" t="s">
        <v>70</v>
      </c>
      <c r="E88" s="47" t="s">
        <v>66</v>
      </c>
      <c r="F88" s="47" t="s">
        <v>114</v>
      </c>
      <c r="G88" s="43" t="str">
        <f>$O88&amp;"º dia útil - "&amp;TEXT(_xlfn.XLOOKUP($A$1&amp;"|"&amp;$O88,ListBox!$H:$H,ListBox!$A:$A,0,0),"DD/MMM")</f>
        <v>15º dia útil - 22/out</v>
      </c>
      <c r="H88" s="15">
        <v>0.75</v>
      </c>
      <c r="J88" s="49"/>
      <c r="K88" s="34"/>
      <c r="M88" s="34"/>
      <c r="O88" s="84">
        <v>15</v>
      </c>
    </row>
    <row r="89" spans="1:15" x14ac:dyDescent="0.3">
      <c r="A89"/>
      <c r="B89" s="11">
        <v>9</v>
      </c>
      <c r="C89" s="11" t="s">
        <v>111</v>
      </c>
      <c r="D89" s="29" t="s">
        <v>70</v>
      </c>
      <c r="E89" s="47" t="s">
        <v>66</v>
      </c>
      <c r="F89" s="47" t="s">
        <v>114</v>
      </c>
      <c r="G89" s="43" t="str">
        <f>$O89&amp;"º dia útil - "&amp;TEXT(_xlfn.XLOOKUP($A$1&amp;"|"&amp;$O89,ListBox!$H:$H,ListBox!$A:$A,0,0),"DD/MMM")</f>
        <v>15º dia útil - 22/out</v>
      </c>
      <c r="H89" s="15">
        <v>0.75</v>
      </c>
      <c r="J89" s="49"/>
      <c r="K89" s="34"/>
      <c r="M89" s="34"/>
      <c r="O89" s="84">
        <v>15</v>
      </c>
    </row>
    <row r="90" spans="1:15" x14ac:dyDescent="0.3">
      <c r="A90"/>
      <c r="B90" s="11">
        <v>9</v>
      </c>
      <c r="C90" s="11" t="s">
        <v>112</v>
      </c>
      <c r="D90" s="29" t="s">
        <v>70</v>
      </c>
      <c r="E90" s="47" t="s">
        <v>66</v>
      </c>
      <c r="F90" s="47" t="s">
        <v>114</v>
      </c>
      <c r="G90" s="43" t="str">
        <f>$O90&amp;"º dia útil - "&amp;TEXT(_xlfn.XLOOKUP($A$1&amp;"|"&amp;$O90,ListBox!$H:$H,ListBox!$A:$A,0,0),"DD/MMM")</f>
        <v>15º dia útil - 22/out</v>
      </c>
      <c r="H90" s="15">
        <v>0.75</v>
      </c>
      <c r="J90" s="49"/>
      <c r="K90" s="34"/>
      <c r="M90" s="34"/>
      <c r="O90" s="84">
        <v>15</v>
      </c>
    </row>
    <row r="91" spans="1:15" x14ac:dyDescent="0.3">
      <c r="A91"/>
      <c r="B91" s="11">
        <v>9</v>
      </c>
      <c r="C91" s="11" t="s">
        <v>113</v>
      </c>
      <c r="D91" s="29" t="s">
        <v>70</v>
      </c>
      <c r="E91" s="47" t="s">
        <v>66</v>
      </c>
      <c r="F91" s="47" t="s">
        <v>114</v>
      </c>
      <c r="G91" s="43" t="str">
        <f>$O91&amp;"º dia útil - "&amp;TEXT(_xlfn.XLOOKUP($A$1&amp;"|"&amp;$O91,ListBox!$H:$H,ListBox!$A:$A,0,0),"DD/MMM")</f>
        <v>15º dia útil - 22/out</v>
      </c>
      <c r="H91" s="15">
        <v>0.75</v>
      </c>
      <c r="J91" s="49"/>
      <c r="K91" s="34"/>
      <c r="M91" s="34"/>
      <c r="O91" s="84">
        <v>15</v>
      </c>
    </row>
    <row r="92" spans="1:15" x14ac:dyDescent="0.3">
      <c r="A92"/>
      <c r="B92" s="11">
        <v>1</v>
      </c>
      <c r="C92" s="11" t="s">
        <v>115</v>
      </c>
      <c r="D92" s="52" t="s">
        <v>46</v>
      </c>
      <c r="E92" s="47" t="s">
        <v>47</v>
      </c>
      <c r="F92" s="29" t="s">
        <v>106</v>
      </c>
      <c r="G92" s="43">
        <v>46295</v>
      </c>
      <c r="H92" s="15">
        <v>0.75</v>
      </c>
      <c r="J92" s="49"/>
      <c r="K92" s="48"/>
      <c r="M92" s="34"/>
      <c r="O92" s="84">
        <v>1</v>
      </c>
    </row>
    <row r="93" spans="1:15" x14ac:dyDescent="0.3">
      <c r="A93"/>
      <c r="B93" s="11">
        <v>2</v>
      </c>
      <c r="C93" s="11" t="s">
        <v>115</v>
      </c>
      <c r="D93" s="52" t="s">
        <v>50</v>
      </c>
      <c r="E93" s="47" t="s">
        <v>51</v>
      </c>
      <c r="F93" s="29" t="s">
        <v>52</v>
      </c>
      <c r="G93" s="43">
        <v>46295</v>
      </c>
      <c r="H93" s="15">
        <v>0.75</v>
      </c>
      <c r="J93" s="49"/>
      <c r="K93" s="70"/>
      <c r="M93" s="34"/>
      <c r="O93" s="84">
        <v>1</v>
      </c>
    </row>
    <row r="94" spans="1:15" x14ac:dyDescent="0.3">
      <c r="A94"/>
      <c r="B94" s="11">
        <v>3</v>
      </c>
      <c r="C94" s="11" t="s">
        <v>115</v>
      </c>
      <c r="D94" s="52" t="s">
        <v>53</v>
      </c>
      <c r="E94" s="52" t="s">
        <v>53</v>
      </c>
      <c r="F94" s="29" t="s">
        <v>73</v>
      </c>
      <c r="G94" s="43">
        <v>46295</v>
      </c>
      <c r="H94" s="15">
        <v>0.75</v>
      </c>
      <c r="J94" s="49"/>
      <c r="K94" s="48"/>
      <c r="M94" s="34"/>
      <c r="O94" s="84">
        <v>1</v>
      </c>
    </row>
    <row r="95" spans="1:15" x14ac:dyDescent="0.25">
      <c r="A95"/>
      <c r="B95" s="11">
        <v>4</v>
      </c>
      <c r="C95" s="11" t="s">
        <v>115</v>
      </c>
      <c r="D95" s="53" t="s">
        <v>54</v>
      </c>
      <c r="E95" s="54" t="s">
        <v>55</v>
      </c>
      <c r="F95" s="32" t="s">
        <v>100</v>
      </c>
      <c r="G95" s="43" t="str">
        <f>$O95&amp;"º dia útil - "&amp;TEXT(_xlfn.XLOOKUP($A$1&amp;"|"&amp;$O95,ListBox!$H:$H,ListBox!$A:$A,0,0),"DD/MMM")</f>
        <v>3º dia útil - 05/out</v>
      </c>
      <c r="H95" s="15">
        <v>0.75</v>
      </c>
      <c r="J95" s="49"/>
      <c r="K95" s="70"/>
      <c r="M95" s="34"/>
      <c r="O95" s="84">
        <v>3</v>
      </c>
    </row>
    <row r="96" spans="1:15" x14ac:dyDescent="0.3">
      <c r="A96"/>
      <c r="B96" s="11">
        <v>5</v>
      </c>
      <c r="C96" s="11" t="s">
        <v>115</v>
      </c>
      <c r="D96" s="29" t="s">
        <v>56</v>
      </c>
      <c r="E96" s="54" t="s">
        <v>55</v>
      </c>
      <c r="F96" s="32" t="s">
        <v>90</v>
      </c>
      <c r="G96" s="43" t="str">
        <f>$O96&amp;"º dia útil - "&amp;TEXT(_xlfn.XLOOKUP($A$1&amp;"|"&amp;$O96,ListBox!$H:$H,ListBox!$A:$A,0,0),"DD/MMM")</f>
        <v>3º dia útil - 05/out</v>
      </c>
      <c r="H96" s="15">
        <v>0.75</v>
      </c>
      <c r="J96" s="49"/>
      <c r="K96" s="70"/>
      <c r="M96" s="34"/>
      <c r="O96" s="84">
        <v>3</v>
      </c>
    </row>
    <row r="97" spans="1:15" x14ac:dyDescent="0.3">
      <c r="A97"/>
      <c r="B97" s="11">
        <v>6</v>
      </c>
      <c r="C97" s="11" t="s">
        <v>115</v>
      </c>
      <c r="D97" s="52" t="s">
        <v>57</v>
      </c>
      <c r="E97" s="54" t="s">
        <v>55</v>
      </c>
      <c r="F97" s="32" t="s">
        <v>77</v>
      </c>
      <c r="G97" s="43" t="str">
        <f>$O97&amp;"º dia útil - "&amp;TEXT(_xlfn.XLOOKUP($A$1&amp;"|"&amp;$O97,ListBox!$H:$H,ListBox!$A:$A,0,0),"DD/MMM")</f>
        <v>3º dia útil - 05/out</v>
      </c>
      <c r="H97" s="15">
        <v>0.75</v>
      </c>
      <c r="J97" s="49"/>
      <c r="K97" s="70"/>
      <c r="M97" s="15"/>
      <c r="O97" s="84">
        <v>3</v>
      </c>
    </row>
    <row r="98" spans="1:15" x14ac:dyDescent="0.3">
      <c r="A98"/>
      <c r="B98" s="11">
        <v>7</v>
      </c>
      <c r="C98" s="11" t="s">
        <v>115</v>
      </c>
      <c r="D98" s="32" t="s">
        <v>58</v>
      </c>
      <c r="E98" s="47" t="s">
        <v>59</v>
      </c>
      <c r="F98" s="29" t="s">
        <v>107</v>
      </c>
      <c r="G98" s="43" t="str">
        <f>$O98&amp;"º dia útil - "&amp;TEXT(_xlfn.XLOOKUP($A$1&amp;"|"&amp;$O98,ListBox!$H:$H,ListBox!$A:$A,0,0),"DD/MMM")</f>
        <v>3º dia útil - 05/out</v>
      </c>
      <c r="H98" s="15">
        <v>0.75</v>
      </c>
      <c r="J98" s="49"/>
      <c r="K98" s="48"/>
      <c r="M98" s="34"/>
      <c r="O98" s="84">
        <v>3</v>
      </c>
    </row>
    <row r="99" spans="1:15" x14ac:dyDescent="0.3">
      <c r="A99"/>
      <c r="B99" s="11">
        <v>18</v>
      </c>
      <c r="C99" s="11" t="s">
        <v>116</v>
      </c>
      <c r="D99" s="32" t="s">
        <v>58</v>
      </c>
      <c r="E99" s="47" t="s">
        <v>59</v>
      </c>
      <c r="F99" s="29" t="s">
        <v>107</v>
      </c>
      <c r="G99" s="43" t="str">
        <f>$O99&amp;"º dia útil - "&amp;TEXT(_xlfn.XLOOKUP($A$1&amp;"|"&amp;$O99,ListBox!$H:$H,ListBox!$A:$A,0,0),"DD/MMM")</f>
        <v>3º dia útil - 05/out</v>
      </c>
      <c r="H99" s="15">
        <v>0.75</v>
      </c>
      <c r="J99" s="49"/>
      <c r="K99" s="48"/>
      <c r="M99" s="34"/>
      <c r="O99" s="84">
        <v>3</v>
      </c>
    </row>
    <row r="100" spans="1:15" x14ac:dyDescent="0.3">
      <c r="A100"/>
      <c r="B100" s="11">
        <v>8</v>
      </c>
      <c r="C100" s="11" t="s">
        <v>115</v>
      </c>
      <c r="D100" s="29" t="s">
        <v>60</v>
      </c>
      <c r="E100" s="47" t="s">
        <v>61</v>
      </c>
      <c r="F100" s="47" t="s">
        <v>108</v>
      </c>
      <c r="G100" s="43" t="str">
        <f>$O100&amp;"º dia útil - "&amp;TEXT(_xlfn.XLOOKUP($A$1&amp;"|"&amp;$O100,ListBox!$H:$H,ListBox!$A:$A,0,0),"DD/MMM")</f>
        <v>7º dia útil - 09/out</v>
      </c>
      <c r="H100" s="15">
        <v>0.75</v>
      </c>
      <c r="J100" s="49"/>
      <c r="K100" s="101"/>
      <c r="M100" s="34"/>
      <c r="O100" s="84">
        <v>7</v>
      </c>
    </row>
    <row r="101" spans="1:15" x14ac:dyDescent="0.3">
      <c r="A101"/>
      <c r="B101" s="11">
        <v>7</v>
      </c>
      <c r="C101" s="11" t="s">
        <v>117</v>
      </c>
      <c r="D101" s="52" t="s">
        <v>57</v>
      </c>
      <c r="E101" s="54" t="s">
        <v>55</v>
      </c>
      <c r="F101" s="32" t="s">
        <v>99</v>
      </c>
      <c r="G101" s="43" t="str">
        <f>$O101&amp;"º dia útil - "&amp;TEXT(_xlfn.XLOOKUP($A$1&amp;"|"&amp;$O101,ListBox!$H:$H,ListBox!$A:$A,0,0),"DD/MMM")</f>
        <v>3º dia útil - 05/out</v>
      </c>
      <c r="H101" s="15">
        <v>0.75</v>
      </c>
      <c r="J101" s="49"/>
      <c r="K101" s="65"/>
      <c r="M101" s="15"/>
      <c r="O101" s="84">
        <v>3</v>
      </c>
    </row>
    <row r="102" spans="1:15" x14ac:dyDescent="0.3">
      <c r="A102"/>
      <c r="B102" s="11">
        <v>7</v>
      </c>
      <c r="C102" s="11" t="s">
        <v>118</v>
      </c>
      <c r="D102" s="52" t="s">
        <v>57</v>
      </c>
      <c r="E102" s="54" t="s">
        <v>55</v>
      </c>
      <c r="F102" s="32" t="s">
        <v>77</v>
      </c>
      <c r="G102" s="43" t="str">
        <f>$O102&amp;"º dia útil - "&amp;TEXT(_xlfn.XLOOKUP($A$1&amp;"|"&amp;$O102,ListBox!$H:$H,ListBox!$A:$A,0,0),"DD/MMM")</f>
        <v>3º dia útil - 05/out</v>
      </c>
      <c r="H102" s="15">
        <v>0.75</v>
      </c>
      <c r="J102" s="49"/>
      <c r="K102" s="70"/>
      <c r="M102" s="15"/>
      <c r="O102" s="84">
        <v>3</v>
      </c>
    </row>
    <row r="103" spans="1:15" x14ac:dyDescent="0.3">
      <c r="A103"/>
      <c r="B103" s="11">
        <v>7</v>
      </c>
      <c r="C103" s="11" t="s">
        <v>119</v>
      </c>
      <c r="D103" s="52" t="s">
        <v>57</v>
      </c>
      <c r="E103" s="54" t="s">
        <v>55</v>
      </c>
      <c r="F103" s="32" t="s">
        <v>99</v>
      </c>
      <c r="G103" s="43" t="str">
        <f>$O103&amp;"º dia útil - "&amp;TEXT(_xlfn.XLOOKUP($A$1&amp;"|"&amp;$O103,ListBox!$H:$H,ListBox!$A:$A,0,0),"DD/MMM")</f>
        <v>3º dia útil - 05/out</v>
      </c>
      <c r="H103" s="15">
        <v>0.75</v>
      </c>
      <c r="J103" s="49"/>
      <c r="K103" s="65"/>
      <c r="M103" s="15"/>
      <c r="O103" s="84">
        <v>3</v>
      </c>
    </row>
    <row r="104" spans="1:15" x14ac:dyDescent="0.3">
      <c r="A104"/>
      <c r="B104" s="11">
        <v>7</v>
      </c>
      <c r="C104" s="11" t="s">
        <v>120</v>
      </c>
      <c r="D104" s="52" t="s">
        <v>57</v>
      </c>
      <c r="E104" s="54" t="s">
        <v>55</v>
      </c>
      <c r="F104" s="32" t="s">
        <v>99</v>
      </c>
      <c r="G104" s="43" t="str">
        <f>$O104&amp;"º dia útil - "&amp;TEXT(_xlfn.XLOOKUP($A$1&amp;"|"&amp;$O104,ListBox!$H:$H,ListBox!$A:$A,0,0),"DD/MMM")</f>
        <v>3º dia útil - 05/out</v>
      </c>
      <c r="H104" s="15">
        <v>0.75</v>
      </c>
      <c r="J104" s="49"/>
      <c r="K104" s="65"/>
      <c r="M104" s="15"/>
      <c r="O104" s="84">
        <v>3</v>
      </c>
    </row>
    <row r="105" spans="1:15" x14ac:dyDescent="0.3">
      <c r="A105"/>
      <c r="B105" s="11">
        <v>7</v>
      </c>
      <c r="C105" s="11" t="s">
        <v>121</v>
      </c>
      <c r="D105" s="52" t="s">
        <v>57</v>
      </c>
      <c r="E105" s="54" t="s">
        <v>55</v>
      </c>
      <c r="F105" s="32" t="s">
        <v>99</v>
      </c>
      <c r="G105" s="43" t="str">
        <f>$O105&amp;"º dia útil - "&amp;TEXT(_xlfn.XLOOKUP($A$1&amp;"|"&amp;$O105,ListBox!$H:$H,ListBox!$A:$A,0,0),"DD/MMM")</f>
        <v>3º dia útil - 05/out</v>
      </c>
      <c r="H105" s="15">
        <v>0.75</v>
      </c>
      <c r="J105" s="49"/>
      <c r="K105" s="65"/>
      <c r="M105" s="15"/>
      <c r="O105" s="84">
        <v>3</v>
      </c>
    </row>
    <row r="106" spans="1:15" x14ac:dyDescent="0.3">
      <c r="A106"/>
      <c r="B106" s="11">
        <v>7</v>
      </c>
      <c r="C106" s="11" t="s">
        <v>117</v>
      </c>
      <c r="D106" s="52" t="s">
        <v>58</v>
      </c>
      <c r="E106" s="54" t="s">
        <v>55</v>
      </c>
      <c r="F106" s="32" t="s">
        <v>99</v>
      </c>
      <c r="G106" s="43" t="str">
        <f>$O106&amp;"º dia útil - "&amp;TEXT(_xlfn.XLOOKUP($A$1&amp;"|"&amp;$O106,ListBox!$H:$H,ListBox!$A:$A,0,0),"DD/MMM")</f>
        <v>3º dia útil - 05/out</v>
      </c>
      <c r="H106" s="15">
        <v>0.75</v>
      </c>
      <c r="J106" s="49"/>
      <c r="K106" s="108"/>
      <c r="M106" s="15"/>
      <c r="O106" s="84">
        <v>3</v>
      </c>
    </row>
    <row r="107" spans="1:15" x14ac:dyDescent="0.3">
      <c r="A107"/>
      <c r="B107" s="11"/>
      <c r="C107" s="11" t="s">
        <v>121</v>
      </c>
      <c r="D107" s="52" t="s">
        <v>58</v>
      </c>
      <c r="E107" s="54" t="s">
        <v>55</v>
      </c>
      <c r="F107" s="32" t="s">
        <v>99</v>
      </c>
      <c r="G107" s="43" t="str">
        <f>$O107&amp;"º dia útil - "&amp;TEXT(_xlfn.XLOOKUP($A$1&amp;"|"&amp;$O107,ListBox!$H:$H,ListBox!$A:$A,0,0),"DD/MMM")</f>
        <v>3º dia útil - 05/out</v>
      </c>
      <c r="H107" s="48">
        <v>0.75</v>
      </c>
      <c r="J107" s="49"/>
      <c r="K107" s="108"/>
      <c r="M107" s="15"/>
      <c r="O107" s="84">
        <v>3</v>
      </c>
    </row>
    <row r="108" spans="1:15" x14ac:dyDescent="0.3">
      <c r="A108"/>
      <c r="B108" s="11">
        <v>7</v>
      </c>
      <c r="C108" s="11" t="s">
        <v>117</v>
      </c>
      <c r="D108" s="52" t="s">
        <v>98</v>
      </c>
      <c r="E108" s="54" t="s">
        <v>55</v>
      </c>
      <c r="F108" s="32" t="s">
        <v>99</v>
      </c>
      <c r="G108" s="43" t="str">
        <f>$O108&amp;"º dia útil - "&amp;TEXT(_xlfn.XLOOKUP($A$1&amp;"|"&amp;$O108,ListBox!$H:$H,ListBox!$A:$A,0,0),"DD/MMM")</f>
        <v>3º dia útil - 05/out</v>
      </c>
      <c r="H108" s="15">
        <v>0.75</v>
      </c>
      <c r="J108" s="49"/>
      <c r="K108" s="65"/>
      <c r="M108" s="15"/>
      <c r="O108" s="84">
        <v>3</v>
      </c>
    </row>
    <row r="109" spans="1:15" x14ac:dyDescent="0.3">
      <c r="A109"/>
      <c r="B109" s="11">
        <v>7</v>
      </c>
      <c r="C109" s="11" t="s">
        <v>119</v>
      </c>
      <c r="D109" s="52" t="s">
        <v>98</v>
      </c>
      <c r="E109" s="54" t="s">
        <v>55</v>
      </c>
      <c r="F109" s="32" t="s">
        <v>99</v>
      </c>
      <c r="G109" s="43" t="str">
        <f>$O109&amp;"º dia útil - "&amp;TEXT(_xlfn.XLOOKUP($A$1&amp;"|"&amp;$O109,ListBox!$H:$H,ListBox!$A:$A,0,0),"DD/MMM")</f>
        <v>3º dia útil - 05/out</v>
      </c>
      <c r="H109" s="15">
        <v>0.75</v>
      </c>
      <c r="J109" s="49"/>
      <c r="K109" s="65"/>
      <c r="M109" s="15"/>
      <c r="O109" s="84">
        <v>3</v>
      </c>
    </row>
    <row r="110" spans="1:15" x14ac:dyDescent="0.3">
      <c r="A110"/>
      <c r="B110" s="11">
        <v>7</v>
      </c>
      <c r="C110" s="11" t="s">
        <v>120</v>
      </c>
      <c r="D110" s="52" t="s">
        <v>98</v>
      </c>
      <c r="E110" s="54" t="s">
        <v>55</v>
      </c>
      <c r="F110" s="32" t="s">
        <v>99</v>
      </c>
      <c r="G110" s="43" t="str">
        <f>$O110&amp;"º dia útil - "&amp;TEXT(_xlfn.XLOOKUP($A$1&amp;"|"&amp;$O110,ListBox!$H:$H,ListBox!$A:$A,0,0),"DD/MMM")</f>
        <v>3º dia útil - 05/out</v>
      </c>
      <c r="H110" s="15">
        <v>0.75</v>
      </c>
      <c r="J110" s="49"/>
      <c r="K110" s="65"/>
      <c r="M110" s="15"/>
      <c r="O110" s="84">
        <v>3</v>
      </c>
    </row>
    <row r="111" spans="1:15" x14ac:dyDescent="0.3">
      <c r="A111"/>
      <c r="B111" s="11">
        <v>7</v>
      </c>
      <c r="C111" s="11" t="s">
        <v>121</v>
      </c>
      <c r="D111" s="52" t="s">
        <v>98</v>
      </c>
      <c r="E111" s="54" t="s">
        <v>55</v>
      </c>
      <c r="F111" s="32" t="s">
        <v>99</v>
      </c>
      <c r="G111" s="43" t="str">
        <f>$O111&amp;"º dia útil - "&amp;TEXT(_xlfn.XLOOKUP($A$1&amp;"|"&amp;$O111,ListBox!$H:$H,ListBox!$A:$A,0,0),"DD/MMM")</f>
        <v>3º dia útil - 05/out</v>
      </c>
      <c r="H111" s="15">
        <v>0.75</v>
      </c>
      <c r="J111" s="49"/>
      <c r="K111" s="65"/>
      <c r="M111" s="15"/>
      <c r="O111" s="84">
        <v>3</v>
      </c>
    </row>
    <row r="112" spans="1:15" x14ac:dyDescent="0.3">
      <c r="A112"/>
      <c r="B112" s="11">
        <v>7</v>
      </c>
      <c r="C112" s="11" t="s">
        <v>117</v>
      </c>
      <c r="D112" s="52" t="s">
        <v>56</v>
      </c>
      <c r="E112" s="54" t="s">
        <v>55</v>
      </c>
      <c r="F112" s="32" t="s">
        <v>99</v>
      </c>
      <c r="G112" s="43" t="str">
        <f>$O112&amp;"º dia útil - "&amp;TEXT(_xlfn.XLOOKUP($A$1&amp;"|"&amp;$O112,ListBox!$H:$H,ListBox!$A:$A,0,0),"DD/MMM")</f>
        <v>3º dia útil - 05/out</v>
      </c>
      <c r="H112" s="15">
        <v>0.75</v>
      </c>
      <c r="J112" s="49"/>
      <c r="K112" s="65"/>
      <c r="M112" s="15"/>
      <c r="O112" s="84">
        <v>3</v>
      </c>
    </row>
    <row r="113" spans="1:15" x14ac:dyDescent="0.3">
      <c r="A113"/>
      <c r="B113" s="11">
        <v>7</v>
      </c>
      <c r="C113" s="11" t="s">
        <v>118</v>
      </c>
      <c r="D113" s="52" t="s">
        <v>54</v>
      </c>
      <c r="E113" s="54" t="s">
        <v>55</v>
      </c>
      <c r="F113" s="32" t="s">
        <v>77</v>
      </c>
      <c r="G113" s="43" t="str">
        <f>$O113&amp;"º dia útil - "&amp;TEXT(_xlfn.XLOOKUP($A$1&amp;"|"&amp;$O113,ListBox!$H:$H,ListBox!$A:$A,0,0),"DD/MMM")</f>
        <v>3º dia útil - 05/out</v>
      </c>
      <c r="H113" s="15">
        <v>0.75</v>
      </c>
      <c r="J113" s="49"/>
      <c r="K113" s="70"/>
      <c r="M113" s="15"/>
      <c r="O113" s="84">
        <v>3</v>
      </c>
    </row>
    <row r="114" spans="1:15" x14ac:dyDescent="0.3">
      <c r="A114"/>
      <c r="B114" s="11">
        <v>7</v>
      </c>
      <c r="C114" s="11" t="s">
        <v>119</v>
      </c>
      <c r="D114" s="52" t="s">
        <v>56</v>
      </c>
      <c r="E114" s="54" t="s">
        <v>55</v>
      </c>
      <c r="F114" s="32" t="s">
        <v>99</v>
      </c>
      <c r="G114" s="43" t="str">
        <f>$O114&amp;"º dia útil - "&amp;TEXT(_xlfn.XLOOKUP($A$1&amp;"|"&amp;$O114,ListBox!$H:$H,ListBox!$A:$A,0,0),"DD/MMM")</f>
        <v>3º dia útil - 05/out</v>
      </c>
      <c r="H114" s="15">
        <v>0.75</v>
      </c>
      <c r="J114" s="49"/>
      <c r="K114" s="65"/>
      <c r="M114" s="15"/>
      <c r="O114" s="84">
        <v>3</v>
      </c>
    </row>
    <row r="115" spans="1:15" x14ac:dyDescent="0.3">
      <c r="A115"/>
      <c r="B115" s="11">
        <v>7</v>
      </c>
      <c r="C115" s="11" t="s">
        <v>120</v>
      </c>
      <c r="D115" s="52" t="s">
        <v>56</v>
      </c>
      <c r="E115" s="54" t="s">
        <v>55</v>
      </c>
      <c r="F115" s="32" t="s">
        <v>99</v>
      </c>
      <c r="G115" s="43" t="str">
        <f>$O115&amp;"º dia útil - "&amp;TEXT(_xlfn.XLOOKUP($A$1&amp;"|"&amp;$O115,ListBox!$H:$H,ListBox!$A:$A,0,0),"DD/MMM")</f>
        <v>3º dia útil - 05/out</v>
      </c>
      <c r="H115" s="15">
        <v>0.75</v>
      </c>
      <c r="J115" s="49"/>
      <c r="K115" s="65"/>
      <c r="M115" s="15"/>
      <c r="O115" s="84">
        <v>3</v>
      </c>
    </row>
    <row r="116" spans="1:15" x14ac:dyDescent="0.3">
      <c r="A116"/>
      <c r="B116" s="11">
        <v>7</v>
      </c>
      <c r="C116" s="11" t="s">
        <v>121</v>
      </c>
      <c r="D116" s="52" t="s">
        <v>56</v>
      </c>
      <c r="E116" s="54" t="s">
        <v>55</v>
      </c>
      <c r="F116" s="32" t="s">
        <v>99</v>
      </c>
      <c r="G116" s="43" t="str">
        <f>$O116&amp;"º dia útil - "&amp;TEXT(_xlfn.XLOOKUP($A$1&amp;"|"&amp;$O116,ListBox!$H:$H,ListBox!$A:$A,0,0),"DD/MMM")</f>
        <v>3º dia útil - 05/out</v>
      </c>
      <c r="H116" s="15">
        <v>0.75</v>
      </c>
      <c r="J116" s="49"/>
      <c r="K116" s="65"/>
      <c r="M116" s="15"/>
      <c r="O116" s="84">
        <v>3</v>
      </c>
    </row>
    <row r="117" spans="1:15" x14ac:dyDescent="0.3">
      <c r="A117"/>
      <c r="B117" s="11">
        <v>7</v>
      </c>
      <c r="C117" s="11" t="s">
        <v>117</v>
      </c>
      <c r="D117" s="52" t="s">
        <v>56</v>
      </c>
      <c r="E117" s="54" t="s">
        <v>55</v>
      </c>
      <c r="F117" s="32" t="s">
        <v>99</v>
      </c>
      <c r="G117" s="43" t="str">
        <f>$O117&amp;"º dia útil - "&amp;TEXT(_xlfn.XLOOKUP($A$1&amp;"|"&amp;$O117,ListBox!$H:$H,ListBox!$A:$A,0,0),"DD/MMM")</f>
        <v>3º dia útil - 05/out</v>
      </c>
      <c r="H117" s="15">
        <v>0.75</v>
      </c>
      <c r="J117" s="49"/>
      <c r="K117" s="65"/>
      <c r="M117" s="15"/>
      <c r="O117" s="84">
        <v>3</v>
      </c>
    </row>
    <row r="118" spans="1:15" x14ac:dyDescent="0.3">
      <c r="A118"/>
      <c r="B118" s="11">
        <v>7</v>
      </c>
      <c r="C118" s="11" t="s">
        <v>118</v>
      </c>
      <c r="D118" s="52" t="s">
        <v>56</v>
      </c>
      <c r="E118" s="54" t="s">
        <v>55</v>
      </c>
      <c r="F118" s="32" t="s">
        <v>77</v>
      </c>
      <c r="G118" s="43" t="str">
        <f>$O118&amp;"º dia útil - "&amp;TEXT(_xlfn.XLOOKUP($A$1&amp;"|"&amp;$O118,ListBox!$H:$H,ListBox!$A:$A,0,0),"DD/MMM")</f>
        <v>3º dia útil - 05/out</v>
      </c>
      <c r="H118" s="15">
        <v>0.75</v>
      </c>
      <c r="J118" s="49"/>
      <c r="K118" s="70"/>
      <c r="M118" s="15"/>
      <c r="O118" s="84">
        <v>3</v>
      </c>
    </row>
    <row r="119" spans="1:15" x14ac:dyDescent="0.3">
      <c r="A119"/>
      <c r="B119" s="11">
        <v>7</v>
      </c>
      <c r="C119" s="11" t="s">
        <v>119</v>
      </c>
      <c r="D119" s="52" t="s">
        <v>56</v>
      </c>
      <c r="E119" s="54" t="s">
        <v>55</v>
      </c>
      <c r="F119" s="32" t="s">
        <v>99</v>
      </c>
      <c r="G119" s="43" t="str">
        <f>$O119&amp;"º dia útil - "&amp;TEXT(_xlfn.XLOOKUP($A$1&amp;"|"&amp;$O119,ListBox!$H:$H,ListBox!$A:$A,0,0),"DD/MMM")</f>
        <v>3º dia útil - 05/out</v>
      </c>
      <c r="H119" s="15">
        <v>0.75</v>
      </c>
      <c r="J119" s="49"/>
      <c r="K119" s="65"/>
      <c r="M119" s="15"/>
      <c r="O119" s="84">
        <v>3</v>
      </c>
    </row>
    <row r="120" spans="1:15" x14ac:dyDescent="0.3">
      <c r="A120"/>
      <c r="B120" s="11">
        <v>7</v>
      </c>
      <c r="C120" s="11" t="s">
        <v>120</v>
      </c>
      <c r="D120" s="52" t="s">
        <v>56</v>
      </c>
      <c r="E120" s="54" t="s">
        <v>55</v>
      </c>
      <c r="F120" s="32" t="s">
        <v>99</v>
      </c>
      <c r="G120" s="43" t="str">
        <f>$O120&amp;"º dia útil - "&amp;TEXT(_xlfn.XLOOKUP($A$1&amp;"|"&amp;$O120,ListBox!$H:$H,ListBox!$A:$A,0,0),"DD/MMM")</f>
        <v>3º dia útil - 05/out</v>
      </c>
      <c r="H120" s="15">
        <v>0.75</v>
      </c>
      <c r="J120" s="49"/>
      <c r="K120" s="108"/>
      <c r="M120" s="15"/>
      <c r="O120" s="84">
        <v>3</v>
      </c>
    </row>
    <row r="121" spans="1:15" x14ac:dyDescent="0.3">
      <c r="A121"/>
      <c r="B121" s="158">
        <v>7</v>
      </c>
      <c r="C121" s="158" t="s">
        <v>121</v>
      </c>
      <c r="D121" s="159" t="s">
        <v>56</v>
      </c>
      <c r="E121" s="160" t="s">
        <v>55</v>
      </c>
      <c r="F121" s="161" t="s">
        <v>99</v>
      </c>
      <c r="G121" s="43" t="str">
        <f>$O121&amp;"º dia útil - "&amp;TEXT(_xlfn.XLOOKUP($A$1&amp;"|"&amp;$O121,ListBox!$H:$H,ListBox!$A:$A,0,0),"DD/MMM")</f>
        <v>3º dia útil - 05/out</v>
      </c>
      <c r="H121" s="181">
        <v>0.75</v>
      </c>
      <c r="J121" s="49"/>
      <c r="K121" s="65"/>
      <c r="M121" s="181"/>
      <c r="O121" s="188">
        <v>3</v>
      </c>
    </row>
    <row r="122" spans="1:15" x14ac:dyDescent="0.3">
      <c r="A122"/>
      <c r="B122" s="11">
        <v>10</v>
      </c>
      <c r="C122" s="11" t="s">
        <v>105</v>
      </c>
      <c r="D122" s="29" t="s">
        <v>216</v>
      </c>
      <c r="E122" s="47" t="s">
        <v>61</v>
      </c>
      <c r="F122" s="47" t="s">
        <v>108</v>
      </c>
      <c r="G122" s="43" t="str">
        <f>$O122&amp;"º dia útil - "&amp;TEXT(_xlfn.XLOOKUP($A$1&amp;"|"&amp;$O122,ListBox!$H:$H,ListBox!$A:$A,0,0),"DD/MMM")</f>
        <v>1º dia útil - 01/out</v>
      </c>
      <c r="H122" s="15">
        <v>0.75</v>
      </c>
      <c r="J122" s="49"/>
      <c r="K122" s="34"/>
      <c r="M122" s="34"/>
      <c r="O122" s="84">
        <v>1</v>
      </c>
    </row>
    <row r="123" spans="1:15" x14ac:dyDescent="0.3">
      <c r="A123"/>
      <c r="B123" s="11">
        <v>10</v>
      </c>
      <c r="C123" s="11" t="s">
        <v>109</v>
      </c>
      <c r="D123" s="29" t="s">
        <v>216</v>
      </c>
      <c r="E123" s="47" t="s">
        <v>61</v>
      </c>
      <c r="F123" s="47" t="s">
        <v>108</v>
      </c>
      <c r="G123" s="43" t="str">
        <f>$O123&amp;"º dia útil - "&amp;TEXT(_xlfn.XLOOKUP($A$1&amp;"|"&amp;$O123,ListBox!$H:$H,ListBox!$A:$A,0,0),"DD/MMM")</f>
        <v>1º dia útil - 01/out</v>
      </c>
      <c r="H123" s="15">
        <v>0.75</v>
      </c>
      <c r="J123" s="49"/>
      <c r="K123" s="34"/>
      <c r="M123" s="34"/>
      <c r="O123" s="84">
        <v>1</v>
      </c>
    </row>
    <row r="124" spans="1:15" x14ac:dyDescent="0.3">
      <c r="A124"/>
      <c r="B124" s="11">
        <v>10</v>
      </c>
      <c r="C124" s="11" t="s">
        <v>110</v>
      </c>
      <c r="D124" s="29" t="s">
        <v>216</v>
      </c>
      <c r="E124" s="47" t="s">
        <v>61</v>
      </c>
      <c r="F124" s="47" t="s">
        <v>108</v>
      </c>
      <c r="G124" s="43" t="str">
        <f>$O124&amp;"º dia útil - "&amp;TEXT(_xlfn.XLOOKUP($A$1&amp;"|"&amp;$O124,ListBox!$H:$H,ListBox!$A:$A,0,0),"DD/MMM")</f>
        <v>1º dia útil - 01/out</v>
      </c>
      <c r="H124" s="15">
        <v>0.75</v>
      </c>
      <c r="J124" s="49"/>
      <c r="K124" s="34"/>
      <c r="M124" s="34"/>
      <c r="O124" s="84">
        <v>1</v>
      </c>
    </row>
    <row r="125" spans="1:15" x14ac:dyDescent="0.3">
      <c r="A125"/>
      <c r="B125" s="11">
        <v>10</v>
      </c>
      <c r="C125" s="11" t="s">
        <v>111</v>
      </c>
      <c r="D125" s="29" t="s">
        <v>216</v>
      </c>
      <c r="E125" s="47" t="s">
        <v>61</v>
      </c>
      <c r="F125" s="47" t="s">
        <v>108</v>
      </c>
      <c r="G125" s="43" t="str">
        <f>$O125&amp;"º dia útil - "&amp;TEXT(_xlfn.XLOOKUP($A$1&amp;"|"&amp;$O125,ListBox!$H:$H,ListBox!$A:$A,0,0),"DD/MMM")</f>
        <v>1º dia útil - 01/out</v>
      </c>
      <c r="H125" s="15">
        <v>0.75</v>
      </c>
      <c r="J125" s="49"/>
      <c r="K125" s="34"/>
      <c r="M125" s="34"/>
      <c r="O125" s="84">
        <v>1</v>
      </c>
    </row>
    <row r="126" spans="1:15" x14ac:dyDescent="0.3">
      <c r="A126"/>
      <c r="B126" s="11">
        <v>10</v>
      </c>
      <c r="C126" s="11" t="s">
        <v>112</v>
      </c>
      <c r="D126" s="29" t="s">
        <v>216</v>
      </c>
      <c r="E126" s="47" t="s">
        <v>61</v>
      </c>
      <c r="F126" s="47" t="s">
        <v>108</v>
      </c>
      <c r="G126" s="43" t="str">
        <f>$O126&amp;"º dia útil - "&amp;TEXT(_xlfn.XLOOKUP($A$1&amp;"|"&amp;$O126,ListBox!$H:$H,ListBox!$A:$A,0,0),"DD/MMM")</f>
        <v>1º dia útil - 01/out</v>
      </c>
      <c r="H126" s="15">
        <v>0.75</v>
      </c>
      <c r="J126" s="49"/>
      <c r="K126" s="34"/>
      <c r="M126" s="34"/>
      <c r="O126" s="84">
        <v>1</v>
      </c>
    </row>
    <row r="127" spans="1:15" x14ac:dyDescent="0.3">
      <c r="A127"/>
      <c r="B127" s="11">
        <v>10</v>
      </c>
      <c r="C127" s="11" t="s">
        <v>113</v>
      </c>
      <c r="D127" s="29" t="s">
        <v>216</v>
      </c>
      <c r="E127" s="47" t="s">
        <v>61</v>
      </c>
      <c r="F127" s="47" t="s">
        <v>108</v>
      </c>
      <c r="G127" s="43" t="str">
        <f>$O127&amp;"º dia útil - "&amp;TEXT(_xlfn.XLOOKUP($A$1&amp;"|"&amp;$O127,ListBox!$H:$H,ListBox!$A:$A,0,0),"DD/MMM")</f>
        <v>1º dia útil - 01/out</v>
      </c>
      <c r="H127" s="15">
        <v>0.75</v>
      </c>
      <c r="J127" s="49"/>
      <c r="K127" s="34"/>
      <c r="M127" s="34"/>
      <c r="O127" s="84">
        <v>1</v>
      </c>
    </row>
    <row r="128" spans="1:15" x14ac:dyDescent="0.3">
      <c r="A128"/>
      <c r="B128" s="11">
        <v>10</v>
      </c>
      <c r="C128" s="11" t="s">
        <v>115</v>
      </c>
      <c r="D128" s="29" t="s">
        <v>216</v>
      </c>
      <c r="E128" s="47" t="s">
        <v>61</v>
      </c>
      <c r="F128" s="47" t="s">
        <v>108</v>
      </c>
      <c r="G128" s="43" t="str">
        <f>$O128&amp;"º dia útil - "&amp;TEXT(_xlfn.XLOOKUP($A$1&amp;"|"&amp;$O128,ListBox!$H:$H,ListBox!$A:$A,0,0),"DD/MMM")</f>
        <v>1º dia útil - 01/out</v>
      </c>
      <c r="H128" s="15">
        <v>0.75</v>
      </c>
      <c r="J128" s="49"/>
      <c r="K128" s="34"/>
      <c r="M128" s="34"/>
      <c r="O128" s="84">
        <v>1</v>
      </c>
    </row>
    <row r="129" spans="1:15" x14ac:dyDescent="0.3">
      <c r="A129"/>
      <c r="B129" s="11">
        <v>11</v>
      </c>
      <c r="C129" s="11" t="s">
        <v>105</v>
      </c>
      <c r="D129" s="29" t="s">
        <v>217</v>
      </c>
      <c r="E129" s="47" t="s">
        <v>61</v>
      </c>
      <c r="F129" s="47" t="s">
        <v>218</v>
      </c>
      <c r="G129" s="43" t="str">
        <f>$O129&amp;"º dia útil - "&amp;TEXT(_xlfn.XLOOKUP($A$1&amp;"|"&amp;$O129,ListBox!$H:$H,ListBox!$A:$A,0,0),"DD/MMM")</f>
        <v>2º dia útil - 02/out</v>
      </c>
      <c r="H129" s="15">
        <v>0.75</v>
      </c>
      <c r="J129" s="49"/>
      <c r="K129" s="34"/>
      <c r="M129" s="34"/>
      <c r="O129" s="84">
        <v>2</v>
      </c>
    </row>
    <row r="130" spans="1:15" x14ac:dyDescent="0.3">
      <c r="A130"/>
      <c r="B130" s="11">
        <v>11</v>
      </c>
      <c r="C130" s="11" t="s">
        <v>109</v>
      </c>
      <c r="D130" s="29" t="s">
        <v>217</v>
      </c>
      <c r="E130" s="47" t="s">
        <v>61</v>
      </c>
      <c r="F130" s="47" t="s">
        <v>218</v>
      </c>
      <c r="G130" s="43" t="str">
        <f>$O130&amp;"º dia útil - "&amp;TEXT(_xlfn.XLOOKUP($A$1&amp;"|"&amp;$O130,ListBox!$H:$H,ListBox!$A:$A,0,0),"DD/MMM")</f>
        <v>2º dia útil - 02/out</v>
      </c>
      <c r="H130" s="15">
        <v>0.75</v>
      </c>
      <c r="J130" s="49"/>
      <c r="K130" s="34"/>
      <c r="M130" s="34"/>
      <c r="O130" s="84">
        <v>2</v>
      </c>
    </row>
    <row r="131" spans="1:15" x14ac:dyDescent="0.3">
      <c r="A131"/>
      <c r="B131" s="11">
        <v>11</v>
      </c>
      <c r="C131" s="11" t="s">
        <v>110</v>
      </c>
      <c r="D131" s="29" t="s">
        <v>217</v>
      </c>
      <c r="E131" s="47" t="s">
        <v>61</v>
      </c>
      <c r="F131" s="47" t="s">
        <v>218</v>
      </c>
      <c r="G131" s="43" t="str">
        <f>$O131&amp;"º dia útil - "&amp;TEXT(_xlfn.XLOOKUP($A$1&amp;"|"&amp;$O131,ListBox!$H:$H,ListBox!$A:$A,0,0),"DD/MMM")</f>
        <v>2º dia útil - 02/out</v>
      </c>
      <c r="H131" s="15">
        <v>0.75</v>
      </c>
      <c r="J131" s="49"/>
      <c r="K131" s="34"/>
      <c r="M131" s="34"/>
      <c r="O131" s="84">
        <v>2</v>
      </c>
    </row>
    <row r="132" spans="1:15" x14ac:dyDescent="0.3">
      <c r="A132"/>
      <c r="B132" s="11">
        <v>11</v>
      </c>
      <c r="C132" s="11" t="s">
        <v>111</v>
      </c>
      <c r="D132" s="29" t="s">
        <v>217</v>
      </c>
      <c r="E132" s="47" t="s">
        <v>61</v>
      </c>
      <c r="F132" s="47" t="s">
        <v>218</v>
      </c>
      <c r="G132" s="43" t="str">
        <f>$O132&amp;"º dia útil - "&amp;TEXT(_xlfn.XLOOKUP($A$1&amp;"|"&amp;$O132,ListBox!$H:$H,ListBox!$A:$A,0,0),"DD/MMM")</f>
        <v>2º dia útil - 02/out</v>
      </c>
      <c r="H132" s="15">
        <v>0.75</v>
      </c>
      <c r="J132" s="49"/>
      <c r="K132" s="34"/>
      <c r="M132" s="34"/>
      <c r="O132" s="84">
        <v>2</v>
      </c>
    </row>
    <row r="133" spans="1:15" x14ac:dyDescent="0.3">
      <c r="A133"/>
      <c r="B133" s="11">
        <v>11</v>
      </c>
      <c r="C133" s="11" t="s">
        <v>112</v>
      </c>
      <c r="D133" s="29" t="s">
        <v>217</v>
      </c>
      <c r="E133" s="47" t="s">
        <v>61</v>
      </c>
      <c r="F133" s="47" t="s">
        <v>218</v>
      </c>
      <c r="G133" s="43" t="str">
        <f>$O133&amp;"º dia útil - "&amp;TEXT(_xlfn.XLOOKUP($A$1&amp;"|"&amp;$O133,ListBox!$H:$H,ListBox!$A:$A,0,0),"DD/MMM")</f>
        <v>2º dia útil - 02/out</v>
      </c>
      <c r="H133" s="15">
        <v>0.75</v>
      </c>
      <c r="J133" s="49"/>
      <c r="K133" s="34"/>
      <c r="M133" s="34"/>
      <c r="O133" s="84">
        <v>2</v>
      </c>
    </row>
    <row r="134" spans="1:15" x14ac:dyDescent="0.3">
      <c r="A134"/>
      <c r="B134" s="11">
        <v>11</v>
      </c>
      <c r="C134" s="11" t="s">
        <v>113</v>
      </c>
      <c r="D134" s="29" t="s">
        <v>217</v>
      </c>
      <c r="E134" s="47" t="s">
        <v>61</v>
      </c>
      <c r="F134" s="47" t="s">
        <v>218</v>
      </c>
      <c r="G134" s="43" t="str">
        <f>$O134&amp;"º dia útil - "&amp;TEXT(_xlfn.XLOOKUP($A$1&amp;"|"&amp;$O134,ListBox!$H:$H,ListBox!$A:$A,0,0),"DD/MMM")</f>
        <v>2º dia útil - 02/out</v>
      </c>
      <c r="H134" s="15">
        <v>0.75</v>
      </c>
      <c r="J134" s="49"/>
      <c r="K134" s="34"/>
      <c r="M134" s="34"/>
      <c r="O134" s="84">
        <v>2</v>
      </c>
    </row>
    <row r="135" spans="1:15" x14ac:dyDescent="0.3">
      <c r="A135"/>
      <c r="B135" s="11">
        <v>11</v>
      </c>
      <c r="C135" s="11" t="s">
        <v>115</v>
      </c>
      <c r="D135" s="29" t="s">
        <v>217</v>
      </c>
      <c r="E135" s="47" t="s">
        <v>61</v>
      </c>
      <c r="F135" s="47" t="s">
        <v>218</v>
      </c>
      <c r="G135" s="43" t="str">
        <f>$O135&amp;"º dia útil - "&amp;TEXT(_xlfn.XLOOKUP($A$1&amp;"|"&amp;$O135,ListBox!$H:$H,ListBox!$A:$A,0,0),"DD/MMM")</f>
        <v>2º dia útil - 02/out</v>
      </c>
      <c r="H135" s="15">
        <v>0.75</v>
      </c>
      <c r="J135" s="49"/>
      <c r="K135" s="34"/>
      <c r="M135" s="34"/>
      <c r="O135" s="84">
        <v>2</v>
      </c>
    </row>
    <row r="136" spans="1:15" x14ac:dyDescent="0.25">
      <c r="B136" s="166">
        <v>1</v>
      </c>
      <c r="C136" s="164" t="s">
        <v>105</v>
      </c>
      <c r="D136" s="168" t="s">
        <v>122</v>
      </c>
      <c r="E136" s="166" t="s">
        <v>123</v>
      </c>
      <c r="F136" s="169" t="s">
        <v>124</v>
      </c>
      <c r="G136" s="180" t="s">
        <v>125</v>
      </c>
      <c r="H136" s="183">
        <v>0.75</v>
      </c>
      <c r="J136" s="185"/>
      <c r="K136" s="169"/>
      <c r="M136" s="169"/>
      <c r="O136" s="169"/>
    </row>
    <row r="137" spans="1:15" x14ac:dyDescent="0.25">
      <c r="B137" s="162">
        <v>5</v>
      </c>
      <c r="C137" s="26" t="s">
        <v>109</v>
      </c>
      <c r="D137" s="168" t="s">
        <v>122</v>
      </c>
      <c r="E137" s="166" t="s">
        <v>123</v>
      </c>
      <c r="F137" s="162" t="s">
        <v>124</v>
      </c>
      <c r="G137" s="180" t="s">
        <v>125</v>
      </c>
      <c r="H137" s="183">
        <v>0.75</v>
      </c>
      <c r="J137" s="185"/>
      <c r="K137" s="162"/>
      <c r="M137" s="169"/>
      <c r="O137" s="169"/>
    </row>
    <row r="138" spans="1:15" x14ac:dyDescent="0.25">
      <c r="B138" s="170">
        <v>7</v>
      </c>
      <c r="C138" s="171" t="s">
        <v>110</v>
      </c>
      <c r="D138" s="168" t="s">
        <v>122</v>
      </c>
      <c r="E138" s="169" t="s">
        <v>123</v>
      </c>
      <c r="F138" s="172" t="s">
        <v>124</v>
      </c>
      <c r="G138" s="180" t="s">
        <v>125</v>
      </c>
      <c r="H138" s="183">
        <v>0.75</v>
      </c>
      <c r="J138" s="185"/>
      <c r="K138" s="170"/>
      <c r="M138" s="162"/>
      <c r="O138" s="162"/>
    </row>
    <row r="139" spans="1:15" x14ac:dyDescent="0.25">
      <c r="B139" s="166">
        <v>10</v>
      </c>
      <c r="C139" s="164" t="s">
        <v>111</v>
      </c>
      <c r="D139" s="168" t="s">
        <v>122</v>
      </c>
      <c r="E139" s="166" t="s">
        <v>123</v>
      </c>
      <c r="F139" s="169" t="s">
        <v>124</v>
      </c>
      <c r="G139" s="180" t="s">
        <v>125</v>
      </c>
      <c r="H139" s="182">
        <v>0.75</v>
      </c>
      <c r="J139" s="185"/>
      <c r="K139" s="169"/>
      <c r="M139" s="170"/>
      <c r="O139" s="170"/>
    </row>
    <row r="140" spans="1:15" x14ac:dyDescent="0.25">
      <c r="B140" s="169">
        <v>6</v>
      </c>
      <c r="C140" s="26" t="s">
        <v>112</v>
      </c>
      <c r="D140" s="165" t="s">
        <v>122</v>
      </c>
      <c r="E140" s="173" t="s">
        <v>123</v>
      </c>
      <c r="F140" s="173" t="s">
        <v>124</v>
      </c>
      <c r="G140" s="180" t="s">
        <v>125</v>
      </c>
      <c r="H140" s="184">
        <v>0.75</v>
      </c>
      <c r="J140" s="185"/>
      <c r="K140" s="166"/>
      <c r="L140" s="163"/>
      <c r="M140" s="162"/>
      <c r="O140" s="162"/>
    </row>
    <row r="141" spans="1:15" x14ac:dyDescent="0.25">
      <c r="B141" s="163">
        <v>9</v>
      </c>
      <c r="C141" s="164" t="s">
        <v>126</v>
      </c>
      <c r="D141" s="168" t="s">
        <v>122</v>
      </c>
      <c r="E141" s="169" t="s">
        <v>123</v>
      </c>
      <c r="F141" s="173" t="s">
        <v>124</v>
      </c>
      <c r="G141" s="180" t="s">
        <v>125</v>
      </c>
      <c r="H141" s="183">
        <v>0.75</v>
      </c>
      <c r="J141" s="186"/>
      <c r="K141" s="169"/>
      <c r="M141" s="170"/>
      <c r="O141" s="170"/>
    </row>
    <row r="142" spans="1:15" x14ac:dyDescent="0.25">
      <c r="B142" s="176">
        <v>12</v>
      </c>
      <c r="C142" s="174" t="s">
        <v>117</v>
      </c>
      <c r="D142" s="165" t="s">
        <v>122</v>
      </c>
      <c r="E142" s="173" t="s">
        <v>123</v>
      </c>
      <c r="F142" s="173" t="s">
        <v>124</v>
      </c>
      <c r="G142" s="180" t="s">
        <v>125</v>
      </c>
      <c r="H142" s="182">
        <v>0.75</v>
      </c>
      <c r="J142" s="187"/>
      <c r="K142" s="162"/>
      <c r="M142" s="162"/>
      <c r="O142" s="162"/>
    </row>
    <row r="143" spans="1:15" x14ac:dyDescent="0.25">
      <c r="B143" s="162">
        <v>13</v>
      </c>
      <c r="C143" s="5" t="s">
        <v>127</v>
      </c>
      <c r="D143" s="168" t="s">
        <v>122</v>
      </c>
      <c r="E143" s="166" t="s">
        <v>123</v>
      </c>
      <c r="F143" s="169" t="s">
        <v>124</v>
      </c>
      <c r="G143" s="180" t="s">
        <v>125</v>
      </c>
      <c r="H143" s="184">
        <v>0.75</v>
      </c>
      <c r="J143" s="185"/>
      <c r="K143" s="170"/>
      <c r="M143" s="170"/>
    </row>
    <row r="144" spans="1:15" x14ac:dyDescent="0.25">
      <c r="B144" s="5">
        <v>15</v>
      </c>
      <c r="C144" s="166" t="s">
        <v>128</v>
      </c>
      <c r="D144" s="168" t="s">
        <v>122</v>
      </c>
      <c r="E144" s="169" t="s">
        <v>123</v>
      </c>
      <c r="F144" s="173" t="s">
        <v>124</v>
      </c>
      <c r="G144" s="180" t="s">
        <v>125</v>
      </c>
      <c r="H144" s="183">
        <v>0.75</v>
      </c>
      <c r="J144" s="185"/>
      <c r="K144" s="169"/>
      <c r="M144" s="169"/>
    </row>
    <row r="145" spans="2:15" x14ac:dyDescent="0.25">
      <c r="B145" s="163">
        <v>14</v>
      </c>
      <c r="C145" s="162" t="s">
        <v>129</v>
      </c>
      <c r="D145" s="179" t="s">
        <v>122</v>
      </c>
      <c r="E145" s="169" t="s">
        <v>123</v>
      </c>
      <c r="F145" s="173" t="s">
        <v>124</v>
      </c>
      <c r="G145" s="180" t="s">
        <v>125</v>
      </c>
      <c r="H145" s="183">
        <v>0.75</v>
      </c>
      <c r="J145" s="185"/>
      <c r="K145" s="169"/>
      <c r="M145" s="162"/>
      <c r="O145" s="162"/>
    </row>
    <row r="146" spans="2:15" x14ac:dyDescent="0.25">
      <c r="B146" s="167">
        <v>16</v>
      </c>
      <c r="C146" s="178" t="s">
        <v>130</v>
      </c>
      <c r="D146" s="177" t="s">
        <v>122</v>
      </c>
      <c r="E146" s="162" t="s">
        <v>123</v>
      </c>
      <c r="F146" s="175" t="s">
        <v>124</v>
      </c>
      <c r="G146" s="180" t="s">
        <v>125</v>
      </c>
      <c r="H146" s="182">
        <v>0.75</v>
      </c>
      <c r="J146" s="186"/>
      <c r="K146" s="162"/>
      <c r="M146" s="167"/>
      <c r="O146" s="167"/>
    </row>
  </sheetData>
  <autoFilter ref="A7:O146" xr:uid="{DC645651-9DDF-4CA8-8A3C-DBB4CA0C4E10}"/>
  <conditionalFormatting sqref="B8:C135">
    <cfRule type="expression" dxfId="4" priority="3" stopIfTrue="1">
      <formula>#REF!=""</formula>
    </cfRule>
  </conditionalFormatting>
  <conditionalFormatting sqref="C136:C142">
    <cfRule type="expression" dxfId="3" priority="1" stopIfTrue="1">
      <formula>#REF!=""</formula>
    </cfRule>
  </conditionalFormatting>
  <printOptions horizontalCentered="1"/>
  <pageMargins left="0.7" right="0.7" top="0.75" bottom="0.75" header="0.3" footer="0.3"/>
  <pageSetup paperSize="9" scale="59" fitToHeight="0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6D62-9D56-4700-AC2C-4CAA90301E22}">
  <sheetPr>
    <pageSetUpPr fitToPage="1"/>
  </sheetPr>
  <dimension ref="B4:N26"/>
  <sheetViews>
    <sheetView showGridLines="0" zoomScale="90" zoomScaleNormal="90" zoomScaleSheetLayoutView="80" workbookViewId="0">
      <pane xSplit="1" ySplit="7" topLeftCell="B8" activePane="bottomRight" state="frozen"/>
      <selection pane="topRight" activeCell="J27" sqref="J27"/>
      <selection pane="bottomLeft" activeCell="J27" sqref="J27"/>
      <selection pane="bottomRight" activeCell="J27" sqref="J27"/>
    </sheetView>
  </sheetViews>
  <sheetFormatPr defaultColWidth="11.44140625" defaultRowHeight="15.6" x14ac:dyDescent="0.25"/>
  <cols>
    <col min="1" max="1" width="1.5546875" style="5" customWidth="1"/>
    <col min="2" max="2" width="8.5546875" style="5" bestFit="1" customWidth="1"/>
    <col min="3" max="3" width="28.88671875" style="55" customWidth="1"/>
    <col min="4" max="4" width="35" style="5" bestFit="1" customWidth="1"/>
    <col min="5" max="8" width="35" style="5" customWidth="1"/>
    <col min="9" max="9" width="19.44140625" style="5" bestFit="1" customWidth="1"/>
    <col min="10" max="10" width="18" style="5" bestFit="1" customWidth="1"/>
    <col min="11" max="11" width="14" style="5" bestFit="1" customWidth="1"/>
    <col min="12" max="12" width="1.5546875" style="5" customWidth="1"/>
    <col min="13" max="14" width="13.5546875" style="5" customWidth="1"/>
    <col min="15" max="16384" width="11.44140625" style="5"/>
  </cols>
  <sheetData>
    <row r="4" spans="2:14" x14ac:dyDescent="0.25">
      <c r="C4" s="51"/>
      <c r="D4" s="7"/>
      <c r="E4" s="7"/>
      <c r="F4" s="7"/>
      <c r="G4" s="7"/>
      <c r="H4" s="7"/>
      <c r="I4" s="7"/>
      <c r="J4" s="7"/>
      <c r="K4" s="7"/>
    </row>
    <row r="5" spans="2:14" ht="13.35" customHeight="1" x14ac:dyDescent="0.25">
      <c r="B5" s="291" t="s">
        <v>131</v>
      </c>
      <c r="C5" s="291"/>
      <c r="D5" s="291"/>
      <c r="E5" s="291"/>
      <c r="F5" s="291"/>
      <c r="G5" s="291"/>
      <c r="H5" s="291"/>
      <c r="I5" s="291"/>
      <c r="J5" s="291"/>
      <c r="K5" s="291"/>
      <c r="L5" s="37"/>
      <c r="M5" s="37"/>
      <c r="N5" s="37"/>
    </row>
    <row r="6" spans="2:14" x14ac:dyDescent="0.25">
      <c r="C6" s="51"/>
      <c r="D6" s="7"/>
      <c r="E6" s="7"/>
      <c r="F6" s="7"/>
      <c r="G6" s="7"/>
      <c r="H6" s="7"/>
      <c r="I6" s="7"/>
      <c r="J6" s="7"/>
      <c r="K6" s="7"/>
    </row>
    <row r="7" spans="2:14" ht="31.2" x14ac:dyDescent="0.25">
      <c r="B7" s="38" t="s">
        <v>32</v>
      </c>
      <c r="C7" s="39" t="s">
        <v>33</v>
      </c>
      <c r="D7" s="38" t="s">
        <v>34</v>
      </c>
      <c r="E7" s="38" t="s">
        <v>132</v>
      </c>
      <c r="F7" s="38" t="s">
        <v>133</v>
      </c>
      <c r="G7" s="38" t="s">
        <v>134</v>
      </c>
      <c r="H7" s="38" t="s">
        <v>135</v>
      </c>
      <c r="I7" s="38" t="s">
        <v>35</v>
      </c>
      <c r="J7" s="38" t="s">
        <v>36</v>
      </c>
      <c r="K7" s="39" t="s">
        <v>37</v>
      </c>
      <c r="L7" s="56"/>
      <c r="M7" s="39" t="s">
        <v>38</v>
      </c>
      <c r="N7" s="39" t="s">
        <v>39</v>
      </c>
    </row>
    <row r="8" spans="2:14" x14ac:dyDescent="0.3">
      <c r="B8" s="11">
        <v>1</v>
      </c>
      <c r="C8" s="52" t="s">
        <v>42</v>
      </c>
      <c r="D8" s="52" t="s">
        <v>43</v>
      </c>
      <c r="E8" s="52"/>
      <c r="F8" s="52"/>
      <c r="G8" s="52"/>
      <c r="H8" s="52"/>
      <c r="I8" s="29"/>
      <c r="J8" s="14"/>
      <c r="K8" s="15"/>
      <c r="M8" s="15"/>
      <c r="N8" s="15"/>
    </row>
    <row r="9" spans="2:14" ht="5.0999999999999996" customHeight="1" x14ac:dyDescent="0.3">
      <c r="B9" s="16"/>
      <c r="C9" s="57"/>
      <c r="D9" s="57"/>
      <c r="E9" s="57"/>
      <c r="F9" s="57"/>
      <c r="G9" s="57"/>
      <c r="H9" s="57"/>
      <c r="I9" s="30"/>
      <c r="J9" s="19"/>
      <c r="K9" s="20"/>
      <c r="M9" s="20"/>
      <c r="N9" s="20"/>
    </row>
    <row r="10" spans="2:14" x14ac:dyDescent="0.3">
      <c r="B10" s="11">
        <v>2</v>
      </c>
      <c r="C10" s="52" t="s">
        <v>46</v>
      </c>
      <c r="D10" s="47" t="s">
        <v>47</v>
      </c>
      <c r="E10" s="47"/>
      <c r="F10" s="47"/>
      <c r="G10" s="47"/>
      <c r="H10" s="47"/>
      <c r="I10" s="29"/>
      <c r="J10" s="14"/>
      <c r="K10" s="15"/>
      <c r="M10" s="15"/>
      <c r="N10" s="15"/>
    </row>
    <row r="11" spans="2:14" ht="5.0999999999999996" customHeight="1" x14ac:dyDescent="0.3">
      <c r="B11" s="16"/>
      <c r="C11" s="57"/>
      <c r="D11" s="58"/>
      <c r="E11" s="58"/>
      <c r="F11" s="58"/>
      <c r="G11" s="58"/>
      <c r="H11" s="58"/>
      <c r="I11" s="31"/>
      <c r="J11" s="19"/>
      <c r="K11" s="20"/>
      <c r="M11" s="20"/>
      <c r="N11" s="20"/>
    </row>
    <row r="12" spans="2:14" x14ac:dyDescent="0.3">
      <c r="B12" s="11">
        <v>3</v>
      </c>
      <c r="C12" s="52" t="s">
        <v>50</v>
      </c>
      <c r="D12" s="47" t="s">
        <v>51</v>
      </c>
      <c r="E12" s="47"/>
      <c r="F12" s="47"/>
      <c r="G12" s="47"/>
      <c r="H12" s="47"/>
      <c r="I12" s="29"/>
      <c r="J12" s="14"/>
      <c r="K12" s="15"/>
      <c r="M12" s="15"/>
      <c r="N12" s="15"/>
    </row>
    <row r="13" spans="2:14" ht="5.0999999999999996" customHeight="1" x14ac:dyDescent="0.3">
      <c r="B13" s="16"/>
      <c r="C13" s="57"/>
      <c r="D13" s="58"/>
      <c r="E13" s="58"/>
      <c r="F13" s="58"/>
      <c r="G13" s="58"/>
      <c r="H13" s="58"/>
      <c r="I13" s="31"/>
      <c r="J13" s="19"/>
      <c r="K13" s="20"/>
      <c r="M13" s="20"/>
      <c r="N13" s="20"/>
    </row>
    <row r="14" spans="2:14" x14ac:dyDescent="0.3">
      <c r="B14" s="11">
        <v>4</v>
      </c>
      <c r="C14" s="52" t="s">
        <v>53</v>
      </c>
      <c r="D14" s="52" t="s">
        <v>53</v>
      </c>
      <c r="E14" s="52" t="s">
        <v>136</v>
      </c>
      <c r="F14" s="52" t="s">
        <v>136</v>
      </c>
      <c r="G14" s="52" t="s">
        <v>136</v>
      </c>
      <c r="H14" s="52" t="s">
        <v>136</v>
      </c>
      <c r="I14" s="29" t="s">
        <v>137</v>
      </c>
      <c r="J14" s="14"/>
      <c r="K14" s="15"/>
      <c r="M14" s="46">
        <v>45932</v>
      </c>
      <c r="N14" s="15">
        <v>0.81597222222222221</v>
      </c>
    </row>
    <row r="15" spans="2:14" ht="5.0999999999999996" customHeight="1" x14ac:dyDescent="0.3">
      <c r="B15" s="16"/>
      <c r="C15" s="57"/>
      <c r="D15" s="58"/>
      <c r="E15" s="58"/>
      <c r="F15" s="58"/>
      <c r="G15" s="58"/>
      <c r="H15" s="58"/>
      <c r="I15" s="31"/>
      <c r="J15" s="19"/>
      <c r="K15" s="20"/>
      <c r="M15" s="20"/>
      <c r="N15" s="20"/>
    </row>
    <row r="16" spans="2:14" ht="15.75" customHeight="1" x14ac:dyDescent="0.25">
      <c r="B16" s="11">
        <v>5</v>
      </c>
      <c r="C16" s="53" t="s">
        <v>54</v>
      </c>
      <c r="D16" s="54" t="s">
        <v>55</v>
      </c>
      <c r="E16" s="54"/>
      <c r="F16" s="54"/>
      <c r="G16" s="54"/>
      <c r="H16" s="54"/>
      <c r="I16" s="32"/>
      <c r="J16" s="14"/>
      <c r="K16" s="15"/>
      <c r="M16" s="15"/>
      <c r="N16" s="15"/>
    </row>
    <row r="17" spans="2:14" ht="5.0999999999999996" customHeight="1" x14ac:dyDescent="0.3">
      <c r="B17" s="16"/>
      <c r="C17" s="57"/>
      <c r="D17" s="58"/>
      <c r="E17" s="58"/>
      <c r="F17" s="58"/>
      <c r="G17" s="58"/>
      <c r="H17" s="58"/>
      <c r="I17" s="31"/>
      <c r="J17" s="19"/>
      <c r="K17" s="20"/>
      <c r="M17" s="20"/>
      <c r="N17" s="20"/>
    </row>
    <row r="18" spans="2:14" ht="15.75" customHeight="1" x14ac:dyDescent="0.3">
      <c r="B18" s="11">
        <v>6</v>
      </c>
      <c r="C18" s="29" t="s">
        <v>56</v>
      </c>
      <c r="D18" s="54" t="s">
        <v>55</v>
      </c>
      <c r="E18" s="64"/>
      <c r="F18" s="54"/>
      <c r="G18" s="54"/>
      <c r="H18" s="54"/>
      <c r="I18" s="32"/>
      <c r="J18" s="14"/>
      <c r="K18" s="15"/>
      <c r="M18" s="15"/>
      <c r="N18" s="15"/>
    </row>
    <row r="19" spans="2:14" ht="5.0999999999999996" customHeight="1" x14ac:dyDescent="0.3">
      <c r="B19" s="16"/>
      <c r="C19" s="59"/>
      <c r="D19" s="58"/>
      <c r="E19" s="58"/>
      <c r="F19" s="58"/>
      <c r="G19" s="58"/>
      <c r="H19" s="58"/>
      <c r="I19" s="31"/>
      <c r="J19" s="19"/>
      <c r="K19" s="20"/>
      <c r="M19" s="20"/>
      <c r="N19" s="20"/>
    </row>
    <row r="20" spans="2:14" x14ac:dyDescent="0.3">
      <c r="B20" s="11">
        <v>7</v>
      </c>
      <c r="C20" s="52" t="s">
        <v>57</v>
      </c>
      <c r="D20" s="54" t="s">
        <v>55</v>
      </c>
      <c r="E20" s="54" t="s">
        <v>138</v>
      </c>
      <c r="F20" s="54" t="s">
        <v>138</v>
      </c>
      <c r="G20" s="54"/>
      <c r="H20" s="54" t="s">
        <v>138</v>
      </c>
      <c r="I20" s="32"/>
      <c r="J20" s="14"/>
      <c r="K20" s="15"/>
      <c r="M20" s="46">
        <v>45813</v>
      </c>
      <c r="N20" s="15">
        <v>0.54166666666666663</v>
      </c>
    </row>
    <row r="21" spans="2:14" ht="5.0999999999999996" customHeight="1" x14ac:dyDescent="0.3">
      <c r="B21" s="16"/>
      <c r="C21" s="59"/>
      <c r="D21" s="58"/>
      <c r="E21" s="58"/>
      <c r="F21" s="58"/>
      <c r="G21" s="58"/>
      <c r="H21" s="58"/>
      <c r="I21" s="31"/>
      <c r="J21" s="19"/>
      <c r="K21" s="20"/>
      <c r="M21" s="20"/>
      <c r="N21" s="20"/>
    </row>
    <row r="22" spans="2:14" ht="28.8" x14ac:dyDescent="0.3">
      <c r="B22" s="11">
        <v>8</v>
      </c>
      <c r="C22" s="32" t="s">
        <v>58</v>
      </c>
      <c r="D22" s="47" t="s">
        <v>59</v>
      </c>
      <c r="E22" s="66" t="s">
        <v>139</v>
      </c>
      <c r="F22" s="54" t="s">
        <v>136</v>
      </c>
      <c r="G22" s="66" t="s">
        <v>139</v>
      </c>
      <c r="H22" s="66" t="s">
        <v>139</v>
      </c>
      <c r="I22" s="29" t="s">
        <v>140</v>
      </c>
      <c r="J22" s="14">
        <v>45933</v>
      </c>
      <c r="K22" s="48">
        <v>0.75</v>
      </c>
      <c r="M22" s="49">
        <v>45719</v>
      </c>
      <c r="N22" s="48">
        <v>0.86527777777777781</v>
      </c>
    </row>
    <row r="23" spans="2:14" ht="5.0999999999999996" customHeight="1" x14ac:dyDescent="0.3">
      <c r="B23" s="16"/>
      <c r="C23" s="59"/>
      <c r="D23" s="58"/>
      <c r="E23" s="58"/>
      <c r="F23" s="58"/>
      <c r="G23" s="58"/>
      <c r="H23" s="58"/>
      <c r="I23" s="31"/>
      <c r="J23" s="19"/>
      <c r="K23" s="20"/>
      <c r="M23" s="20"/>
      <c r="N23" s="20"/>
    </row>
    <row r="24" spans="2:14" x14ac:dyDescent="0.3">
      <c r="B24" s="11">
        <v>9</v>
      </c>
      <c r="C24" s="29" t="s">
        <v>60</v>
      </c>
      <c r="D24" s="60" t="s">
        <v>61</v>
      </c>
      <c r="E24" s="61"/>
      <c r="F24" s="61"/>
      <c r="G24" s="61"/>
      <c r="H24" s="61"/>
      <c r="I24" s="61"/>
      <c r="J24" s="61"/>
      <c r="K24" s="62"/>
      <c r="M24" s="34"/>
      <c r="N24" s="34"/>
    </row>
    <row r="25" spans="2:14" x14ac:dyDescent="0.25">
      <c r="B25" s="26"/>
      <c r="C25" s="63"/>
      <c r="D25" s="26"/>
      <c r="E25" s="26"/>
      <c r="F25" s="26"/>
      <c r="G25" s="26"/>
      <c r="H25" s="26"/>
      <c r="I25" s="26"/>
      <c r="J25" s="26"/>
      <c r="K25" s="26"/>
    </row>
    <row r="26" spans="2:14" x14ac:dyDescent="0.25">
      <c r="B26" s="294" t="s">
        <v>62</v>
      </c>
      <c r="C26" s="294"/>
      <c r="D26" s="294"/>
      <c r="E26" s="294"/>
      <c r="F26" s="294"/>
      <c r="G26" s="294"/>
      <c r="H26" s="294"/>
      <c r="I26" s="294"/>
      <c r="J26" s="294"/>
      <c r="K26" s="294"/>
    </row>
  </sheetData>
  <autoFilter ref="B7:K7" xr:uid="{12A5BBDB-FE10-4E38-92BC-480072D95872}"/>
  <mergeCells count="2">
    <mergeCell ref="B5:K5"/>
    <mergeCell ref="B26:K26"/>
  </mergeCells>
  <conditionalFormatting sqref="B8:B24">
    <cfRule type="expression" dxfId="2" priority="1" stopIfTrue="1">
      <formula>#REF!=""</formula>
    </cfRule>
  </conditionalFormatting>
  <printOptions horizontalCentered="1"/>
  <pageMargins left="0.7" right="0.7" top="0.75" bottom="0.75" header="0.3" footer="0.3"/>
  <pageSetup paperSize="9" scale="59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DE5A-37C0-46A9-BCD8-394D682CF4CF}">
  <dimension ref="A1:L366"/>
  <sheetViews>
    <sheetView showGridLines="0" workbookViewId="0">
      <pane ySplit="1" topLeftCell="A2" activePane="bottomLeft" state="frozen"/>
      <selection activeCell="K11" sqref="K11"/>
      <selection pane="bottomLeft" activeCell="K11" sqref="K11"/>
    </sheetView>
  </sheetViews>
  <sheetFormatPr defaultRowHeight="13.2" x14ac:dyDescent="0.25"/>
  <cols>
    <col min="1" max="1" width="9.88671875" bestFit="1" customWidth="1"/>
    <col min="2" max="2" width="12.88671875" bestFit="1" customWidth="1"/>
    <col min="3" max="3" width="20.109375" bestFit="1" customWidth="1"/>
    <col min="4" max="4" width="9.88671875" bestFit="1" customWidth="1"/>
    <col min="10" max="10" width="10.88671875" bestFit="1" customWidth="1"/>
    <col min="11" max="11" width="39" bestFit="1" customWidth="1"/>
    <col min="12" max="12" width="18.44140625" bestFit="1" customWidth="1"/>
  </cols>
  <sheetData>
    <row r="1" spans="1:12" x14ac:dyDescent="0.25">
      <c r="A1" s="76" t="s">
        <v>141</v>
      </c>
      <c r="B1" s="76" t="s">
        <v>142</v>
      </c>
      <c r="C1" s="76" t="s">
        <v>143</v>
      </c>
      <c r="D1" s="76" t="s">
        <v>144</v>
      </c>
      <c r="E1" s="76" t="s">
        <v>145</v>
      </c>
      <c r="F1" s="76" t="s">
        <v>146</v>
      </c>
      <c r="G1" s="76" t="s">
        <v>147</v>
      </c>
      <c r="H1" s="76" t="s">
        <v>148</v>
      </c>
      <c r="J1" s="76" t="s">
        <v>141</v>
      </c>
      <c r="K1" s="76" t="s">
        <v>149</v>
      </c>
      <c r="L1" s="76" t="s">
        <v>150</v>
      </c>
    </row>
    <row r="2" spans="1:12" x14ac:dyDescent="0.25">
      <c r="A2" s="79">
        <v>46023</v>
      </c>
      <c r="B2" s="80">
        <f t="shared" ref="B2:B11" si="0">WEEKDAY(A2,1)</f>
        <v>5</v>
      </c>
      <c r="C2" s="80" t="str">
        <f>TEXT(B2,"ddddd")</f>
        <v>quinta-feira</v>
      </c>
      <c r="D2" s="81" t="str">
        <f t="shared" ref="D2:D65" si="1">IF(_xlfn.XLOOKUP(A2,J:J,J:J,0,0)=A2,"Sim","")</f>
        <v>Sim</v>
      </c>
      <c r="E2" s="80" t="str">
        <f>IF(OR(B2=1,B2=7,D2&lt;&gt;""),"Não","Sim")</f>
        <v>Não</v>
      </c>
      <c r="F2" s="80" t="str">
        <f>IF(E2="Sim", COUNTIFS($E$2:E2, "Sim", $A$2:A2, "&gt;="&amp;DATE(YEAR(A2), MONTH(A2), 1)), "")</f>
        <v/>
      </c>
      <c r="G2" s="80">
        <f>WEEKNUM(A2)</f>
        <v>1</v>
      </c>
      <c r="H2" s="80" t="str">
        <f>IF(F2="","",MONTH(A2)&amp;"|"&amp;F2)</f>
        <v/>
      </c>
      <c r="J2" s="77">
        <v>46023</v>
      </c>
      <c r="K2" s="75" t="s">
        <v>151</v>
      </c>
      <c r="L2" s="75" t="s">
        <v>152</v>
      </c>
    </row>
    <row r="3" spans="1:12" x14ac:dyDescent="0.25">
      <c r="A3" s="79">
        <f t="shared" ref="A3:A11" si="2">A2+1</f>
        <v>46024</v>
      </c>
      <c r="B3" s="80">
        <f t="shared" si="0"/>
        <v>6</v>
      </c>
      <c r="C3" s="80" t="str">
        <f t="shared" ref="C3:C66" si="3">TEXT(B3,"ddddd")</f>
        <v>sexta-feira</v>
      </c>
      <c r="D3" s="81" t="str">
        <f t="shared" si="1"/>
        <v/>
      </c>
      <c r="E3" s="80" t="str">
        <f t="shared" ref="E3:E18" si="4">IF(OR(B3=1,B3=7,D3&lt;&gt;""),"Não","Sim")</f>
        <v>Sim</v>
      </c>
      <c r="F3" s="80">
        <f>IF(E3="Sim", COUNTIFS($E$2:E3, "Sim", $A$2:A3, "&gt;="&amp;DATE(YEAR(A3), MONTH(A3), 1)), "")</f>
        <v>1</v>
      </c>
      <c r="G3" s="80">
        <f t="shared" ref="G3:G18" si="5">WEEKNUM(A3)</f>
        <v>1</v>
      </c>
      <c r="H3" s="80" t="str">
        <f t="shared" ref="H3:H66" si="6">IF(F3="","",MONTH(A3)&amp;"|"&amp;F3)</f>
        <v>1|1</v>
      </c>
      <c r="J3" s="77">
        <v>46042</v>
      </c>
      <c r="K3" s="75" t="s">
        <v>153</v>
      </c>
      <c r="L3" s="74" t="s">
        <v>154</v>
      </c>
    </row>
    <row r="4" spans="1:12" x14ac:dyDescent="0.25">
      <c r="A4" s="79">
        <f t="shared" si="2"/>
        <v>46025</v>
      </c>
      <c r="B4" s="80">
        <f t="shared" si="0"/>
        <v>7</v>
      </c>
      <c r="C4" s="80" t="str">
        <f t="shared" si="3"/>
        <v>sábado</v>
      </c>
      <c r="D4" s="81" t="str">
        <f t="shared" si="1"/>
        <v/>
      </c>
      <c r="E4" s="80" t="str">
        <f t="shared" si="4"/>
        <v>Não</v>
      </c>
      <c r="F4" s="80" t="str">
        <f>IF(E4="Sim", COUNTIFS($E$2:E4, "Sim", $A$2:A4, "&gt;="&amp;DATE(YEAR(A4), MONTH(A4), 1)), "")</f>
        <v/>
      </c>
      <c r="G4" s="80">
        <f t="shared" si="5"/>
        <v>1</v>
      </c>
      <c r="H4" s="80" t="str">
        <f t="shared" si="6"/>
        <v/>
      </c>
      <c r="J4" s="77">
        <v>46069</v>
      </c>
      <c r="K4" s="75" t="s">
        <v>155</v>
      </c>
      <c r="L4" s="75" t="s">
        <v>156</v>
      </c>
    </row>
    <row r="5" spans="1:12" x14ac:dyDescent="0.25">
      <c r="A5" s="79">
        <f t="shared" si="2"/>
        <v>46026</v>
      </c>
      <c r="B5" s="80">
        <f t="shared" si="0"/>
        <v>1</v>
      </c>
      <c r="C5" s="80" t="str">
        <f t="shared" si="3"/>
        <v>domingo</v>
      </c>
      <c r="D5" s="81" t="str">
        <f t="shared" si="1"/>
        <v/>
      </c>
      <c r="E5" s="80" t="str">
        <f t="shared" si="4"/>
        <v>Não</v>
      </c>
      <c r="F5" s="80" t="str">
        <f>IF(E5="Sim", COUNTIFS($E$2:E5, "Sim", $A$2:A5, "&gt;="&amp;DATE(YEAR(A5), MONTH(A5), 1)), "")</f>
        <v/>
      </c>
      <c r="G5" s="80">
        <f t="shared" si="5"/>
        <v>2</v>
      </c>
      <c r="H5" s="80" t="str">
        <f t="shared" si="6"/>
        <v/>
      </c>
      <c r="J5" s="77">
        <v>46070</v>
      </c>
      <c r="K5" s="75" t="s">
        <v>155</v>
      </c>
      <c r="L5" s="75" t="s">
        <v>156</v>
      </c>
    </row>
    <row r="6" spans="1:12" x14ac:dyDescent="0.25">
      <c r="A6" s="73">
        <f t="shared" si="2"/>
        <v>46027</v>
      </c>
      <c r="B6" s="72">
        <f t="shared" si="0"/>
        <v>2</v>
      </c>
      <c r="C6" s="72" t="str">
        <f t="shared" si="3"/>
        <v>segunda-feira</v>
      </c>
      <c r="D6" s="78" t="str">
        <f t="shared" si="1"/>
        <v/>
      </c>
      <c r="E6" s="72" t="str">
        <f t="shared" si="4"/>
        <v>Sim</v>
      </c>
      <c r="F6" s="72">
        <f>IF(E6="Sim", COUNTIFS($E$2:E6, "Sim", $A$2:A6, "&gt;="&amp;DATE(YEAR(A6), MONTH(A6), 1)), "")</f>
        <v>2</v>
      </c>
      <c r="G6" s="72">
        <f t="shared" si="5"/>
        <v>2</v>
      </c>
      <c r="H6" s="72" t="str">
        <f t="shared" si="6"/>
        <v>1|2</v>
      </c>
      <c r="J6" s="77">
        <v>46115</v>
      </c>
      <c r="K6" s="75" t="s">
        <v>157</v>
      </c>
      <c r="L6" s="75" t="s">
        <v>152</v>
      </c>
    </row>
    <row r="7" spans="1:12" x14ac:dyDescent="0.25">
      <c r="A7" s="73">
        <f t="shared" si="2"/>
        <v>46028</v>
      </c>
      <c r="B7" s="72">
        <f t="shared" si="0"/>
        <v>3</v>
      </c>
      <c r="C7" s="72" t="str">
        <f t="shared" si="3"/>
        <v>terça-feira</v>
      </c>
      <c r="D7" s="78" t="str">
        <f t="shared" si="1"/>
        <v/>
      </c>
      <c r="E7" s="72" t="str">
        <f t="shared" si="4"/>
        <v>Sim</v>
      </c>
      <c r="F7" s="72">
        <f>IF(E7="Sim", COUNTIFS($E$2:E7, "Sim", $A$2:A7, "&gt;="&amp;DATE(YEAR(A7), MONTH(A7), 1)), "")</f>
        <v>3</v>
      </c>
      <c r="G7" s="72">
        <f t="shared" si="5"/>
        <v>2</v>
      </c>
      <c r="H7" s="72" t="str">
        <f t="shared" si="6"/>
        <v>1|3</v>
      </c>
      <c r="J7" s="77">
        <v>46133</v>
      </c>
      <c r="K7" s="75" t="s">
        <v>158</v>
      </c>
      <c r="L7" s="75" t="s">
        <v>152</v>
      </c>
    </row>
    <row r="8" spans="1:12" x14ac:dyDescent="0.25">
      <c r="A8" s="73">
        <f t="shared" si="2"/>
        <v>46029</v>
      </c>
      <c r="B8" s="72">
        <f t="shared" si="0"/>
        <v>4</v>
      </c>
      <c r="C8" s="72" t="str">
        <f t="shared" si="3"/>
        <v>quarta-feira</v>
      </c>
      <c r="D8" s="78" t="str">
        <f t="shared" si="1"/>
        <v/>
      </c>
      <c r="E8" s="72" t="str">
        <f t="shared" si="4"/>
        <v>Sim</v>
      </c>
      <c r="F8" s="72">
        <f>IF(E8="Sim", COUNTIFS($E$2:E8, "Sim", $A$2:A8, "&gt;="&amp;DATE(YEAR(A8), MONTH(A8), 1)), "")</f>
        <v>4</v>
      </c>
      <c r="G8" s="72">
        <f t="shared" si="5"/>
        <v>2</v>
      </c>
      <c r="H8" s="72" t="str">
        <f t="shared" si="6"/>
        <v>1|4</v>
      </c>
      <c r="J8" s="77">
        <v>46143</v>
      </c>
      <c r="K8" s="75" t="s">
        <v>159</v>
      </c>
      <c r="L8" s="75" t="s">
        <v>152</v>
      </c>
    </row>
    <row r="9" spans="1:12" x14ac:dyDescent="0.25">
      <c r="A9" s="73">
        <f t="shared" si="2"/>
        <v>46030</v>
      </c>
      <c r="B9" s="72">
        <f t="shared" si="0"/>
        <v>5</v>
      </c>
      <c r="C9" s="72" t="str">
        <f t="shared" si="3"/>
        <v>quinta-feira</v>
      </c>
      <c r="D9" s="78" t="str">
        <f t="shared" si="1"/>
        <v/>
      </c>
      <c r="E9" s="72" t="str">
        <f t="shared" si="4"/>
        <v>Sim</v>
      </c>
      <c r="F9" s="72">
        <f>IF(E9="Sim", COUNTIFS($E$2:E9, "Sim", $A$2:A9, "&gt;="&amp;DATE(YEAR(A9), MONTH(A9), 1)), "")</f>
        <v>5</v>
      </c>
      <c r="G9" s="72">
        <f t="shared" si="5"/>
        <v>2</v>
      </c>
      <c r="H9" s="72" t="str">
        <f t="shared" si="6"/>
        <v>1|5</v>
      </c>
      <c r="J9" s="77">
        <v>46229</v>
      </c>
      <c r="K9" s="75" t="s">
        <v>160</v>
      </c>
      <c r="L9" s="75" t="s">
        <v>161</v>
      </c>
    </row>
    <row r="10" spans="1:12" x14ac:dyDescent="0.25">
      <c r="A10" s="73">
        <f t="shared" si="2"/>
        <v>46031</v>
      </c>
      <c r="B10" s="72">
        <f t="shared" si="0"/>
        <v>6</v>
      </c>
      <c r="C10" s="72" t="str">
        <f t="shared" si="3"/>
        <v>sexta-feira</v>
      </c>
      <c r="D10" s="78" t="str">
        <f t="shared" si="1"/>
        <v/>
      </c>
      <c r="E10" s="72" t="str">
        <f t="shared" si="4"/>
        <v>Sim</v>
      </c>
      <c r="F10" s="72">
        <f>IF(E10="Sim", COUNTIFS($E$2:E10, "Sim", $A$2:A10, "&gt;="&amp;DATE(YEAR(A10), MONTH(A10), 1)), "")</f>
        <v>6</v>
      </c>
      <c r="G10" s="72">
        <f t="shared" si="5"/>
        <v>2</v>
      </c>
      <c r="H10" s="72" t="str">
        <f t="shared" si="6"/>
        <v>1|6</v>
      </c>
      <c r="J10" s="77"/>
      <c r="K10" s="75" t="s">
        <v>162</v>
      </c>
      <c r="L10" s="74" t="s">
        <v>154</v>
      </c>
    </row>
    <row r="11" spans="1:12" x14ac:dyDescent="0.25">
      <c r="A11" s="73">
        <f t="shared" si="2"/>
        <v>46032</v>
      </c>
      <c r="B11" s="72">
        <f t="shared" si="0"/>
        <v>7</v>
      </c>
      <c r="C11" s="72" t="str">
        <f t="shared" si="3"/>
        <v>sábado</v>
      </c>
      <c r="D11" s="78" t="str">
        <f t="shared" si="1"/>
        <v/>
      </c>
      <c r="E11" s="72" t="str">
        <f t="shared" si="4"/>
        <v>Não</v>
      </c>
      <c r="F11" s="72" t="str">
        <f>IF(E11="Sim", COUNTIFS($E$2:E11, "Sim", $A$2:A11, "&gt;="&amp;DATE(YEAR(A11), MONTH(A11), 1)), "")</f>
        <v/>
      </c>
      <c r="G11" s="72">
        <f t="shared" si="5"/>
        <v>2</v>
      </c>
      <c r="H11" s="72" t="str">
        <f t="shared" si="6"/>
        <v/>
      </c>
      <c r="J11" s="77">
        <v>46272</v>
      </c>
      <c r="K11" s="75" t="s">
        <v>163</v>
      </c>
      <c r="L11" s="75" t="s">
        <v>152</v>
      </c>
    </row>
    <row r="12" spans="1:12" x14ac:dyDescent="0.25">
      <c r="A12" s="79">
        <f t="shared" ref="A12:A18" si="7">A11+1</f>
        <v>46033</v>
      </c>
      <c r="B12" s="80">
        <f t="shared" ref="B12:B32" si="8">WEEKDAY(A12,1)</f>
        <v>1</v>
      </c>
      <c r="C12" s="80" t="str">
        <f t="shared" si="3"/>
        <v>domingo</v>
      </c>
      <c r="D12" s="81" t="str">
        <f t="shared" si="1"/>
        <v/>
      </c>
      <c r="E12" s="80" t="str">
        <f t="shared" si="4"/>
        <v>Não</v>
      </c>
      <c r="F12" s="80" t="str">
        <f>IF(E12="Sim", COUNTIFS($E$2:E12, "Sim", $A$2:A12, "&gt;="&amp;DATE(YEAR(A12), MONTH(A12), 1)), "")</f>
        <v/>
      </c>
      <c r="G12" s="80">
        <f t="shared" si="5"/>
        <v>3</v>
      </c>
      <c r="H12" s="80" t="str">
        <f t="shared" si="6"/>
        <v/>
      </c>
      <c r="J12" s="77">
        <v>46307</v>
      </c>
      <c r="K12" s="75" t="s">
        <v>164</v>
      </c>
      <c r="L12" s="75" t="s">
        <v>152</v>
      </c>
    </row>
    <row r="13" spans="1:12" x14ac:dyDescent="0.25">
      <c r="A13" s="79">
        <f t="shared" si="7"/>
        <v>46034</v>
      </c>
      <c r="B13" s="80">
        <f t="shared" si="8"/>
        <v>2</v>
      </c>
      <c r="C13" s="80" t="str">
        <f t="shared" si="3"/>
        <v>segunda-feira</v>
      </c>
      <c r="D13" s="81" t="str">
        <f t="shared" si="1"/>
        <v/>
      </c>
      <c r="E13" s="80" t="str">
        <f t="shared" si="4"/>
        <v>Sim</v>
      </c>
      <c r="F13" s="80">
        <f>IF(E13="Sim", COUNTIFS($E$2:E13, "Sim", $A$2:A13, "&gt;="&amp;DATE(YEAR(A13), MONTH(A13), 1)), "")</f>
        <v>7</v>
      </c>
      <c r="G13" s="80">
        <f t="shared" si="5"/>
        <v>3</v>
      </c>
      <c r="H13" s="80" t="str">
        <f t="shared" si="6"/>
        <v>1|7</v>
      </c>
      <c r="J13" s="77">
        <v>46319</v>
      </c>
      <c r="K13" s="75" t="s">
        <v>165</v>
      </c>
      <c r="L13" s="75" t="s">
        <v>161</v>
      </c>
    </row>
    <row r="14" spans="1:12" x14ac:dyDescent="0.25">
      <c r="A14" s="79">
        <f t="shared" si="7"/>
        <v>46035</v>
      </c>
      <c r="B14" s="80">
        <f t="shared" si="8"/>
        <v>3</v>
      </c>
      <c r="C14" s="80" t="str">
        <f t="shared" si="3"/>
        <v>terça-feira</v>
      </c>
      <c r="D14" s="81" t="str">
        <f t="shared" si="1"/>
        <v/>
      </c>
      <c r="E14" s="80" t="str">
        <f t="shared" si="4"/>
        <v>Sim</v>
      </c>
      <c r="F14" s="80">
        <f>IF(E14="Sim", COUNTIFS($E$2:E14, "Sim", $A$2:A14, "&gt;="&amp;DATE(YEAR(A14), MONTH(A14), 1)), "")</f>
        <v>8</v>
      </c>
      <c r="G14" s="80">
        <f t="shared" si="5"/>
        <v>3</v>
      </c>
      <c r="H14" s="80" t="str">
        <f t="shared" si="6"/>
        <v>1|8</v>
      </c>
      <c r="J14" s="77">
        <v>46323</v>
      </c>
      <c r="K14" s="75" t="s">
        <v>166</v>
      </c>
      <c r="L14" s="75" t="s">
        <v>156</v>
      </c>
    </row>
    <row r="15" spans="1:12" x14ac:dyDescent="0.25">
      <c r="A15" s="79">
        <f t="shared" si="7"/>
        <v>46036</v>
      </c>
      <c r="B15" s="80">
        <f t="shared" si="8"/>
        <v>4</v>
      </c>
      <c r="C15" s="80" t="str">
        <f t="shared" si="3"/>
        <v>quarta-feira</v>
      </c>
      <c r="D15" s="81" t="str">
        <f t="shared" si="1"/>
        <v/>
      </c>
      <c r="E15" s="80" t="str">
        <f t="shared" si="4"/>
        <v>Sim</v>
      </c>
      <c r="F15" s="80">
        <f>IF(E15="Sim", COUNTIFS($E$2:E15, "Sim", $A$2:A15, "&gt;="&amp;DATE(YEAR(A15), MONTH(A15), 1)), "")</f>
        <v>9</v>
      </c>
      <c r="G15" s="80">
        <f t="shared" si="5"/>
        <v>3</v>
      </c>
      <c r="H15" s="80" t="str">
        <f t="shared" si="6"/>
        <v>1|9</v>
      </c>
      <c r="J15" s="77">
        <v>46328</v>
      </c>
      <c r="K15" s="75" t="s">
        <v>167</v>
      </c>
      <c r="L15" s="75" t="s">
        <v>152</v>
      </c>
    </row>
    <row r="16" spans="1:12" x14ac:dyDescent="0.25">
      <c r="A16" s="79">
        <f t="shared" si="7"/>
        <v>46037</v>
      </c>
      <c r="B16" s="80">
        <f t="shared" si="8"/>
        <v>5</v>
      </c>
      <c r="C16" s="80" t="str">
        <f t="shared" si="3"/>
        <v>quinta-feira</v>
      </c>
      <c r="D16" s="81" t="str">
        <f t="shared" si="1"/>
        <v/>
      </c>
      <c r="E16" s="80" t="str">
        <f t="shared" si="4"/>
        <v>Sim</v>
      </c>
      <c r="F16" s="80">
        <f>IF(E16="Sim", COUNTIFS($E$2:E16, "Sim", $A$2:A16, "&gt;="&amp;DATE(YEAR(A16), MONTH(A16), 1)), "")</f>
        <v>10</v>
      </c>
      <c r="G16" s="80">
        <f t="shared" si="5"/>
        <v>3</v>
      </c>
      <c r="H16" s="80" t="str">
        <f t="shared" si="6"/>
        <v>1|10</v>
      </c>
      <c r="J16" s="77">
        <v>46341</v>
      </c>
      <c r="K16" s="75" t="s">
        <v>168</v>
      </c>
      <c r="L16" s="75" t="s">
        <v>152</v>
      </c>
    </row>
    <row r="17" spans="1:12" x14ac:dyDescent="0.25">
      <c r="A17" s="79">
        <f t="shared" si="7"/>
        <v>46038</v>
      </c>
      <c r="B17" s="80">
        <f t="shared" si="8"/>
        <v>6</v>
      </c>
      <c r="C17" s="80" t="str">
        <f t="shared" si="3"/>
        <v>sexta-feira</v>
      </c>
      <c r="D17" s="81" t="str">
        <f t="shared" si="1"/>
        <v/>
      </c>
      <c r="E17" s="80" t="str">
        <f t="shared" si="4"/>
        <v>Sim</v>
      </c>
      <c r="F17" s="80">
        <f>IF(E17="Sim", COUNTIFS($E$2:E17, "Sim", $A$2:A17, "&gt;="&amp;DATE(YEAR(A17), MONTH(A17), 1)), "")</f>
        <v>11</v>
      </c>
      <c r="G17" s="80">
        <f t="shared" si="5"/>
        <v>3</v>
      </c>
      <c r="H17" s="80" t="str">
        <f t="shared" si="6"/>
        <v>1|11</v>
      </c>
      <c r="J17" s="77">
        <v>46346</v>
      </c>
      <c r="K17" s="75" t="s">
        <v>169</v>
      </c>
      <c r="L17" s="75" t="s">
        <v>152</v>
      </c>
    </row>
    <row r="18" spans="1:12" x14ac:dyDescent="0.25">
      <c r="A18" s="79">
        <f t="shared" si="7"/>
        <v>46039</v>
      </c>
      <c r="B18" s="80">
        <f t="shared" si="8"/>
        <v>7</v>
      </c>
      <c r="C18" s="80" t="str">
        <f t="shared" si="3"/>
        <v>sábado</v>
      </c>
      <c r="D18" s="81" t="str">
        <f t="shared" si="1"/>
        <v/>
      </c>
      <c r="E18" s="80" t="str">
        <f t="shared" si="4"/>
        <v>Não</v>
      </c>
      <c r="F18" s="80" t="str">
        <f>IF(E18="Sim", COUNTIFS($E$2:E18, "Sim", $A$2:A18, "&gt;="&amp;DATE(YEAR(A18), MONTH(A18), 1)), "")</f>
        <v/>
      </c>
      <c r="G18" s="80">
        <f t="shared" si="5"/>
        <v>3</v>
      </c>
      <c r="H18" s="80" t="str">
        <f t="shared" si="6"/>
        <v/>
      </c>
      <c r="J18" s="77">
        <v>46381</v>
      </c>
      <c r="K18" s="75" t="s">
        <v>170</v>
      </c>
      <c r="L18" s="75" t="s">
        <v>152</v>
      </c>
    </row>
    <row r="19" spans="1:12" x14ac:dyDescent="0.25">
      <c r="A19" s="73">
        <f t="shared" ref="A19:A25" si="9">A18+1</f>
        <v>46040</v>
      </c>
      <c r="B19" s="72">
        <f t="shared" ref="B19:B25" si="10">WEEKDAY(A19,1)</f>
        <v>1</v>
      </c>
      <c r="C19" s="72" t="str">
        <f t="shared" si="3"/>
        <v>domingo</v>
      </c>
      <c r="D19" s="78" t="str">
        <f t="shared" si="1"/>
        <v/>
      </c>
      <c r="E19" s="72" t="str">
        <f t="shared" ref="E19:E74" si="11">IF(OR(B19=1,B19=7,D19&lt;&gt;""),"Não","Sim")</f>
        <v>Não</v>
      </c>
      <c r="F19" s="72" t="str">
        <f>IF(E19="Sim", COUNTIFS($E$2:E19, "Sim", $A$2:A19, "&gt;="&amp;DATE(YEAR(A19), MONTH(A19), 1)), "")</f>
        <v/>
      </c>
      <c r="G19" s="72">
        <f t="shared" ref="G19:G74" si="12">WEEKNUM(A19)</f>
        <v>4</v>
      </c>
      <c r="H19" s="72" t="str">
        <f t="shared" si="6"/>
        <v/>
      </c>
    </row>
    <row r="20" spans="1:12" x14ac:dyDescent="0.25">
      <c r="A20" s="73">
        <f t="shared" si="9"/>
        <v>46041</v>
      </c>
      <c r="B20" s="72">
        <f t="shared" si="10"/>
        <v>2</v>
      </c>
      <c r="C20" s="72" t="str">
        <f t="shared" si="3"/>
        <v>segunda-feira</v>
      </c>
      <c r="D20" s="78" t="str">
        <f t="shared" si="1"/>
        <v/>
      </c>
      <c r="E20" s="72" t="str">
        <f t="shared" si="11"/>
        <v>Sim</v>
      </c>
      <c r="F20" s="72">
        <f>IF(E20="Sim", COUNTIFS($E$2:E20, "Sim", $A$2:A20, "&gt;="&amp;DATE(YEAR(A20), MONTH(A20), 1)), "")</f>
        <v>12</v>
      </c>
      <c r="G20" s="72">
        <f t="shared" si="12"/>
        <v>4</v>
      </c>
      <c r="H20" s="72" t="str">
        <f t="shared" si="6"/>
        <v>1|12</v>
      </c>
    </row>
    <row r="21" spans="1:12" x14ac:dyDescent="0.25">
      <c r="A21" s="73">
        <f t="shared" si="9"/>
        <v>46042</v>
      </c>
      <c r="B21" s="72">
        <f t="shared" si="10"/>
        <v>3</v>
      </c>
      <c r="C21" s="72" t="str">
        <f t="shared" si="3"/>
        <v>terça-feira</v>
      </c>
      <c r="D21" s="78" t="str">
        <f t="shared" si="1"/>
        <v>Sim</v>
      </c>
      <c r="E21" s="72" t="str">
        <f t="shared" si="11"/>
        <v>Não</v>
      </c>
      <c r="F21" s="72" t="str">
        <f>IF(E21="Sim", COUNTIFS($E$2:E21, "Sim", $A$2:A21, "&gt;="&amp;DATE(YEAR(A21), MONTH(A21), 1)), "")</f>
        <v/>
      </c>
      <c r="G21" s="72">
        <f t="shared" si="12"/>
        <v>4</v>
      </c>
      <c r="H21" s="72" t="str">
        <f t="shared" si="6"/>
        <v/>
      </c>
    </row>
    <row r="22" spans="1:12" x14ac:dyDescent="0.25">
      <c r="A22" s="73">
        <f t="shared" si="9"/>
        <v>46043</v>
      </c>
      <c r="B22" s="72">
        <f t="shared" si="10"/>
        <v>4</v>
      </c>
      <c r="C22" s="72" t="str">
        <f t="shared" si="3"/>
        <v>quarta-feira</v>
      </c>
      <c r="D22" s="78" t="str">
        <f t="shared" si="1"/>
        <v/>
      </c>
      <c r="E22" s="72" t="str">
        <f t="shared" si="11"/>
        <v>Sim</v>
      </c>
      <c r="F22" s="72">
        <f>IF(E22="Sim", COUNTIFS($E$2:E22, "Sim", $A$2:A22, "&gt;="&amp;DATE(YEAR(A22), MONTH(A22), 1)), "")</f>
        <v>13</v>
      </c>
      <c r="G22" s="72">
        <f t="shared" si="12"/>
        <v>4</v>
      </c>
      <c r="H22" s="72" t="str">
        <f t="shared" si="6"/>
        <v>1|13</v>
      </c>
    </row>
    <row r="23" spans="1:12" x14ac:dyDescent="0.25">
      <c r="A23" s="73">
        <f t="shared" si="9"/>
        <v>46044</v>
      </c>
      <c r="B23" s="72">
        <f t="shared" si="10"/>
        <v>5</v>
      </c>
      <c r="C23" s="72" t="str">
        <f t="shared" si="3"/>
        <v>quinta-feira</v>
      </c>
      <c r="D23" s="78" t="str">
        <f t="shared" si="1"/>
        <v/>
      </c>
      <c r="E23" s="72" t="str">
        <f t="shared" si="11"/>
        <v>Sim</v>
      </c>
      <c r="F23" s="72">
        <f>IF(E23="Sim", COUNTIFS($E$2:E23, "Sim", $A$2:A23, "&gt;="&amp;DATE(YEAR(A23), MONTH(A23), 1)), "")</f>
        <v>14</v>
      </c>
      <c r="G23" s="72">
        <f t="shared" si="12"/>
        <v>4</v>
      </c>
      <c r="H23" s="72" t="str">
        <f t="shared" si="6"/>
        <v>1|14</v>
      </c>
    </row>
    <row r="24" spans="1:12" x14ac:dyDescent="0.25">
      <c r="A24" s="73">
        <f t="shared" si="9"/>
        <v>46045</v>
      </c>
      <c r="B24" s="72">
        <f t="shared" si="10"/>
        <v>6</v>
      </c>
      <c r="C24" s="72" t="str">
        <f t="shared" si="3"/>
        <v>sexta-feira</v>
      </c>
      <c r="D24" s="78" t="str">
        <f t="shared" si="1"/>
        <v/>
      </c>
      <c r="E24" s="72" t="str">
        <f t="shared" si="11"/>
        <v>Sim</v>
      </c>
      <c r="F24" s="72">
        <f>IF(E24="Sim", COUNTIFS($E$2:E24, "Sim", $A$2:A24, "&gt;="&amp;DATE(YEAR(A24), MONTH(A24), 1)), "")</f>
        <v>15</v>
      </c>
      <c r="G24" s="72">
        <f t="shared" si="12"/>
        <v>4</v>
      </c>
      <c r="H24" s="72" t="str">
        <f t="shared" si="6"/>
        <v>1|15</v>
      </c>
    </row>
    <row r="25" spans="1:12" x14ac:dyDescent="0.25">
      <c r="A25" s="73">
        <f t="shared" si="9"/>
        <v>46046</v>
      </c>
      <c r="B25" s="72">
        <f t="shared" si="10"/>
        <v>7</v>
      </c>
      <c r="C25" s="72" t="str">
        <f t="shared" si="3"/>
        <v>sábado</v>
      </c>
      <c r="D25" s="78" t="str">
        <f t="shared" si="1"/>
        <v/>
      </c>
      <c r="E25" s="72" t="str">
        <f t="shared" si="11"/>
        <v>Não</v>
      </c>
      <c r="F25" s="72" t="str">
        <f>IF(E25="Sim", COUNTIFS($E$2:E25, "Sim", $A$2:A25, "&gt;="&amp;DATE(YEAR(A25), MONTH(A25), 1)), "")</f>
        <v/>
      </c>
      <c r="G25" s="72">
        <f t="shared" si="12"/>
        <v>4</v>
      </c>
      <c r="H25" s="72" t="str">
        <f t="shared" si="6"/>
        <v/>
      </c>
    </row>
    <row r="26" spans="1:12" x14ac:dyDescent="0.25">
      <c r="A26" s="79">
        <f t="shared" ref="A26:A32" si="13">A25+1</f>
        <v>46047</v>
      </c>
      <c r="B26" s="80">
        <f t="shared" si="8"/>
        <v>1</v>
      </c>
      <c r="C26" s="80" t="str">
        <f t="shared" si="3"/>
        <v>domingo</v>
      </c>
      <c r="D26" s="81" t="str">
        <f t="shared" si="1"/>
        <v/>
      </c>
      <c r="E26" s="80" t="str">
        <f t="shared" si="11"/>
        <v>Não</v>
      </c>
      <c r="F26" s="80" t="str">
        <f>IF(E26="Sim", COUNTIFS($E$2:E26, "Sim", $A$2:A26, "&gt;="&amp;DATE(YEAR(A26), MONTH(A26), 1)), "")</f>
        <v/>
      </c>
      <c r="G26" s="80">
        <f t="shared" si="12"/>
        <v>5</v>
      </c>
      <c r="H26" s="80" t="str">
        <f t="shared" si="6"/>
        <v/>
      </c>
    </row>
    <row r="27" spans="1:12" x14ac:dyDescent="0.25">
      <c r="A27" s="79">
        <f t="shared" si="13"/>
        <v>46048</v>
      </c>
      <c r="B27" s="80">
        <f t="shared" si="8"/>
        <v>2</v>
      </c>
      <c r="C27" s="80" t="str">
        <f t="shared" si="3"/>
        <v>segunda-feira</v>
      </c>
      <c r="D27" s="81" t="str">
        <f t="shared" si="1"/>
        <v/>
      </c>
      <c r="E27" s="80" t="str">
        <f t="shared" si="11"/>
        <v>Sim</v>
      </c>
      <c r="F27" s="80">
        <f>IF(E27="Sim", COUNTIFS($E$2:E27, "Sim", $A$2:A27, "&gt;="&amp;DATE(YEAR(A27), MONTH(A27), 1)), "")</f>
        <v>16</v>
      </c>
      <c r="G27" s="80">
        <f t="shared" si="12"/>
        <v>5</v>
      </c>
      <c r="H27" s="80" t="str">
        <f t="shared" si="6"/>
        <v>1|16</v>
      </c>
    </row>
    <row r="28" spans="1:12" x14ac:dyDescent="0.25">
      <c r="A28" s="79">
        <f t="shared" si="13"/>
        <v>46049</v>
      </c>
      <c r="B28" s="80">
        <f t="shared" si="8"/>
        <v>3</v>
      </c>
      <c r="C28" s="80" t="str">
        <f t="shared" si="3"/>
        <v>terça-feira</v>
      </c>
      <c r="D28" s="81" t="str">
        <f t="shared" si="1"/>
        <v/>
      </c>
      <c r="E28" s="80" t="str">
        <f t="shared" si="11"/>
        <v>Sim</v>
      </c>
      <c r="F28" s="80">
        <f>IF(E28="Sim", COUNTIFS($E$2:E28, "Sim", $A$2:A28, "&gt;="&amp;DATE(YEAR(A28), MONTH(A28), 1)), "")</f>
        <v>17</v>
      </c>
      <c r="G28" s="80">
        <f t="shared" si="12"/>
        <v>5</v>
      </c>
      <c r="H28" s="80" t="str">
        <f t="shared" si="6"/>
        <v>1|17</v>
      </c>
    </row>
    <row r="29" spans="1:12" x14ac:dyDescent="0.25">
      <c r="A29" s="79">
        <f t="shared" si="13"/>
        <v>46050</v>
      </c>
      <c r="B29" s="80">
        <f t="shared" si="8"/>
        <v>4</v>
      </c>
      <c r="C29" s="80" t="str">
        <f t="shared" si="3"/>
        <v>quarta-feira</v>
      </c>
      <c r="D29" s="81" t="str">
        <f t="shared" si="1"/>
        <v/>
      </c>
      <c r="E29" s="80" t="str">
        <f t="shared" si="11"/>
        <v>Sim</v>
      </c>
      <c r="F29" s="80">
        <f>IF(E29="Sim", COUNTIFS($E$2:E29, "Sim", $A$2:A29, "&gt;="&amp;DATE(YEAR(A29), MONTH(A29), 1)), "")</f>
        <v>18</v>
      </c>
      <c r="G29" s="80">
        <f t="shared" si="12"/>
        <v>5</v>
      </c>
      <c r="H29" s="80" t="str">
        <f t="shared" si="6"/>
        <v>1|18</v>
      </c>
    </row>
    <row r="30" spans="1:12" x14ac:dyDescent="0.25">
      <c r="A30" s="79">
        <f t="shared" si="13"/>
        <v>46051</v>
      </c>
      <c r="B30" s="80">
        <f t="shared" si="8"/>
        <v>5</v>
      </c>
      <c r="C30" s="80" t="str">
        <f t="shared" si="3"/>
        <v>quinta-feira</v>
      </c>
      <c r="D30" s="81" t="str">
        <f t="shared" si="1"/>
        <v/>
      </c>
      <c r="E30" s="80" t="str">
        <f t="shared" si="11"/>
        <v>Sim</v>
      </c>
      <c r="F30" s="80">
        <f>IF(E30="Sim", COUNTIFS($E$2:E30, "Sim", $A$2:A30, "&gt;="&amp;DATE(YEAR(A30), MONTH(A30), 1)), "")</f>
        <v>19</v>
      </c>
      <c r="G30" s="80">
        <f t="shared" si="12"/>
        <v>5</v>
      </c>
      <c r="H30" s="80" t="str">
        <f t="shared" si="6"/>
        <v>1|19</v>
      </c>
    </row>
    <row r="31" spans="1:12" x14ac:dyDescent="0.25">
      <c r="A31" s="79">
        <f t="shared" si="13"/>
        <v>46052</v>
      </c>
      <c r="B31" s="80">
        <f t="shared" si="8"/>
        <v>6</v>
      </c>
      <c r="C31" s="80" t="str">
        <f t="shared" si="3"/>
        <v>sexta-feira</v>
      </c>
      <c r="D31" s="81" t="str">
        <f t="shared" si="1"/>
        <v/>
      </c>
      <c r="E31" s="80" t="str">
        <f t="shared" si="11"/>
        <v>Sim</v>
      </c>
      <c r="F31" s="80">
        <f>IF(E31="Sim", COUNTIFS($E$2:E31, "Sim", $A$2:A31, "&gt;="&amp;DATE(YEAR(A31), MONTH(A31), 1)), "")</f>
        <v>20</v>
      </c>
      <c r="G31" s="80">
        <f t="shared" si="12"/>
        <v>5</v>
      </c>
      <c r="H31" s="80" t="str">
        <f t="shared" si="6"/>
        <v>1|20</v>
      </c>
    </row>
    <row r="32" spans="1:12" x14ac:dyDescent="0.25">
      <c r="A32" s="79">
        <f t="shared" si="13"/>
        <v>46053</v>
      </c>
      <c r="B32" s="80">
        <f t="shared" si="8"/>
        <v>7</v>
      </c>
      <c r="C32" s="80" t="str">
        <f t="shared" si="3"/>
        <v>sábado</v>
      </c>
      <c r="D32" s="81" t="str">
        <f t="shared" si="1"/>
        <v/>
      </c>
      <c r="E32" s="80" t="str">
        <f t="shared" si="11"/>
        <v>Não</v>
      </c>
      <c r="F32" s="80" t="str">
        <f>IF(E32="Sim", COUNTIFS($E$2:E32, "Sim", $A$2:A32, "&gt;="&amp;DATE(YEAR(A32), MONTH(A32), 1)), "")</f>
        <v/>
      </c>
      <c r="G32" s="80">
        <f t="shared" si="12"/>
        <v>5</v>
      </c>
      <c r="H32" s="80" t="str">
        <f t="shared" si="6"/>
        <v/>
      </c>
    </row>
    <row r="33" spans="1:8" x14ac:dyDescent="0.25">
      <c r="A33" s="73">
        <f t="shared" ref="A33:A39" si="14">A32+1</f>
        <v>46054</v>
      </c>
      <c r="B33" s="72">
        <f t="shared" ref="B33:B39" si="15">WEEKDAY(A33,1)</f>
        <v>1</v>
      </c>
      <c r="C33" s="72" t="str">
        <f t="shared" si="3"/>
        <v>domingo</v>
      </c>
      <c r="D33" s="78" t="str">
        <f t="shared" si="1"/>
        <v/>
      </c>
      <c r="E33" s="72" t="str">
        <f t="shared" si="11"/>
        <v>Não</v>
      </c>
      <c r="F33" s="72" t="str">
        <f>IF(E33="Sim", COUNTIFS($E$2:E33, "Sim", $A$2:A33, "&gt;="&amp;DATE(YEAR(A33), MONTH(A33), 1)), "")</f>
        <v/>
      </c>
      <c r="G33" s="72">
        <f t="shared" si="12"/>
        <v>6</v>
      </c>
      <c r="H33" s="72" t="str">
        <f t="shared" si="6"/>
        <v/>
      </c>
    </row>
    <row r="34" spans="1:8" x14ac:dyDescent="0.25">
      <c r="A34" s="73">
        <f t="shared" si="14"/>
        <v>46055</v>
      </c>
      <c r="B34" s="72">
        <f t="shared" si="15"/>
        <v>2</v>
      </c>
      <c r="C34" s="72" t="str">
        <f t="shared" si="3"/>
        <v>segunda-feira</v>
      </c>
      <c r="D34" s="78" t="str">
        <f t="shared" si="1"/>
        <v/>
      </c>
      <c r="E34" s="72" t="str">
        <f t="shared" si="11"/>
        <v>Sim</v>
      </c>
      <c r="F34" s="72">
        <f>IF(E34="Sim", COUNTIFS($E$2:E34, "Sim", $A$2:A34, "&gt;="&amp;DATE(YEAR(A34), MONTH(A34), 1)), "")</f>
        <v>1</v>
      </c>
      <c r="G34" s="72">
        <f t="shared" si="12"/>
        <v>6</v>
      </c>
      <c r="H34" s="72" t="str">
        <f t="shared" si="6"/>
        <v>2|1</v>
      </c>
    </row>
    <row r="35" spans="1:8" x14ac:dyDescent="0.25">
      <c r="A35" s="73">
        <f t="shared" si="14"/>
        <v>46056</v>
      </c>
      <c r="B35" s="72">
        <f t="shared" si="15"/>
        <v>3</v>
      </c>
      <c r="C35" s="72" t="str">
        <f t="shared" si="3"/>
        <v>terça-feira</v>
      </c>
      <c r="D35" s="78" t="str">
        <f t="shared" si="1"/>
        <v/>
      </c>
      <c r="E35" s="72" t="str">
        <f t="shared" si="11"/>
        <v>Sim</v>
      </c>
      <c r="F35" s="72">
        <f>IF(E35="Sim", COUNTIFS($E$2:E35, "Sim", $A$2:A35, "&gt;="&amp;DATE(YEAR(A35), MONTH(A35), 1)), "")</f>
        <v>2</v>
      </c>
      <c r="G35" s="72">
        <f t="shared" si="12"/>
        <v>6</v>
      </c>
      <c r="H35" s="72" t="str">
        <f t="shared" si="6"/>
        <v>2|2</v>
      </c>
    </row>
    <row r="36" spans="1:8" x14ac:dyDescent="0.25">
      <c r="A36" s="73">
        <f t="shared" si="14"/>
        <v>46057</v>
      </c>
      <c r="B36" s="72">
        <f t="shared" si="15"/>
        <v>4</v>
      </c>
      <c r="C36" s="72" t="str">
        <f t="shared" si="3"/>
        <v>quarta-feira</v>
      </c>
      <c r="D36" s="78" t="str">
        <f t="shared" si="1"/>
        <v/>
      </c>
      <c r="E36" s="72" t="str">
        <f t="shared" si="11"/>
        <v>Sim</v>
      </c>
      <c r="F36" s="72">
        <f>IF(E36="Sim", COUNTIFS($E$2:E36, "Sim", $A$2:A36, "&gt;="&amp;DATE(YEAR(A36), MONTH(A36), 1)), "")</f>
        <v>3</v>
      </c>
      <c r="G36" s="72">
        <f t="shared" si="12"/>
        <v>6</v>
      </c>
      <c r="H36" s="72" t="str">
        <f t="shared" si="6"/>
        <v>2|3</v>
      </c>
    </row>
    <row r="37" spans="1:8" x14ac:dyDescent="0.25">
      <c r="A37" s="73">
        <f t="shared" si="14"/>
        <v>46058</v>
      </c>
      <c r="B37" s="72">
        <f t="shared" si="15"/>
        <v>5</v>
      </c>
      <c r="C37" s="72" t="str">
        <f t="shared" si="3"/>
        <v>quinta-feira</v>
      </c>
      <c r="D37" s="78" t="str">
        <f t="shared" si="1"/>
        <v/>
      </c>
      <c r="E37" s="72" t="str">
        <f t="shared" si="11"/>
        <v>Sim</v>
      </c>
      <c r="F37" s="72">
        <f>IF(E37="Sim", COUNTIFS($E$2:E37, "Sim", $A$2:A37, "&gt;="&amp;DATE(YEAR(A37), MONTH(A37), 1)), "")</f>
        <v>4</v>
      </c>
      <c r="G37" s="72">
        <f t="shared" si="12"/>
        <v>6</v>
      </c>
      <c r="H37" s="72" t="str">
        <f t="shared" si="6"/>
        <v>2|4</v>
      </c>
    </row>
    <row r="38" spans="1:8" x14ac:dyDescent="0.25">
      <c r="A38" s="73">
        <f t="shared" si="14"/>
        <v>46059</v>
      </c>
      <c r="B38" s="72">
        <f t="shared" si="15"/>
        <v>6</v>
      </c>
      <c r="C38" s="72" t="str">
        <f t="shared" si="3"/>
        <v>sexta-feira</v>
      </c>
      <c r="D38" s="78" t="str">
        <f t="shared" si="1"/>
        <v/>
      </c>
      <c r="E38" s="72" t="str">
        <f t="shared" si="11"/>
        <v>Sim</v>
      </c>
      <c r="F38" s="72">
        <f>IF(E38="Sim", COUNTIFS($E$2:E38, "Sim", $A$2:A38, "&gt;="&amp;DATE(YEAR(A38), MONTH(A38), 1)), "")</f>
        <v>5</v>
      </c>
      <c r="G38" s="72">
        <f t="shared" si="12"/>
        <v>6</v>
      </c>
      <c r="H38" s="72" t="str">
        <f t="shared" si="6"/>
        <v>2|5</v>
      </c>
    </row>
    <row r="39" spans="1:8" x14ac:dyDescent="0.25">
      <c r="A39" s="73">
        <f t="shared" si="14"/>
        <v>46060</v>
      </c>
      <c r="B39" s="72">
        <f t="shared" si="15"/>
        <v>7</v>
      </c>
      <c r="C39" s="72" t="str">
        <f t="shared" si="3"/>
        <v>sábado</v>
      </c>
      <c r="D39" s="78" t="str">
        <f t="shared" si="1"/>
        <v/>
      </c>
      <c r="E39" s="72" t="str">
        <f t="shared" si="11"/>
        <v>Não</v>
      </c>
      <c r="F39" s="72" t="str">
        <f>IF(E39="Sim", COUNTIFS($E$2:E39, "Sim", $A$2:A39, "&gt;="&amp;DATE(YEAR(A39), MONTH(A39), 1)), "")</f>
        <v/>
      </c>
      <c r="G39" s="72">
        <f t="shared" si="12"/>
        <v>6</v>
      </c>
      <c r="H39" s="72" t="str">
        <f t="shared" si="6"/>
        <v/>
      </c>
    </row>
    <row r="40" spans="1:8" x14ac:dyDescent="0.25">
      <c r="A40" s="79">
        <f t="shared" ref="A40:A46" si="16">A39+1</f>
        <v>46061</v>
      </c>
      <c r="B40" s="80">
        <f t="shared" ref="B40:B46" si="17">WEEKDAY(A40,1)</f>
        <v>1</v>
      </c>
      <c r="C40" s="80" t="str">
        <f t="shared" si="3"/>
        <v>domingo</v>
      </c>
      <c r="D40" s="81" t="str">
        <f t="shared" si="1"/>
        <v/>
      </c>
      <c r="E40" s="80" t="str">
        <f t="shared" si="11"/>
        <v>Não</v>
      </c>
      <c r="F40" s="80" t="str">
        <f>IF(E40="Sim", COUNTIFS($E$2:E40, "Sim", $A$2:A40, "&gt;="&amp;DATE(YEAR(A40), MONTH(A40), 1)), "")</f>
        <v/>
      </c>
      <c r="G40" s="80">
        <f t="shared" si="12"/>
        <v>7</v>
      </c>
      <c r="H40" s="80" t="str">
        <f t="shared" si="6"/>
        <v/>
      </c>
    </row>
    <row r="41" spans="1:8" x14ac:dyDescent="0.25">
      <c r="A41" s="79">
        <f t="shared" si="16"/>
        <v>46062</v>
      </c>
      <c r="B41" s="80">
        <f t="shared" si="17"/>
        <v>2</v>
      </c>
      <c r="C41" s="80" t="str">
        <f t="shared" si="3"/>
        <v>segunda-feira</v>
      </c>
      <c r="D41" s="81" t="str">
        <f t="shared" si="1"/>
        <v/>
      </c>
      <c r="E41" s="80" t="str">
        <f t="shared" si="11"/>
        <v>Sim</v>
      </c>
      <c r="F41" s="80">
        <f>IF(E41="Sim", COUNTIFS($E$2:E41, "Sim", $A$2:A41, "&gt;="&amp;DATE(YEAR(A41), MONTH(A41), 1)), "")</f>
        <v>6</v>
      </c>
      <c r="G41" s="80">
        <f t="shared" si="12"/>
        <v>7</v>
      </c>
      <c r="H41" s="80" t="str">
        <f t="shared" si="6"/>
        <v>2|6</v>
      </c>
    </row>
    <row r="42" spans="1:8" x14ac:dyDescent="0.25">
      <c r="A42" s="79">
        <f t="shared" si="16"/>
        <v>46063</v>
      </c>
      <c r="B42" s="80">
        <f t="shared" si="17"/>
        <v>3</v>
      </c>
      <c r="C42" s="80" t="str">
        <f t="shared" si="3"/>
        <v>terça-feira</v>
      </c>
      <c r="D42" s="81" t="str">
        <f t="shared" si="1"/>
        <v/>
      </c>
      <c r="E42" s="80" t="str">
        <f t="shared" si="11"/>
        <v>Sim</v>
      </c>
      <c r="F42" s="80">
        <f>IF(E42="Sim", COUNTIFS($E$2:E42, "Sim", $A$2:A42, "&gt;="&amp;DATE(YEAR(A42), MONTH(A42), 1)), "")</f>
        <v>7</v>
      </c>
      <c r="G42" s="80">
        <f t="shared" si="12"/>
        <v>7</v>
      </c>
      <c r="H42" s="80" t="str">
        <f t="shared" si="6"/>
        <v>2|7</v>
      </c>
    </row>
    <row r="43" spans="1:8" x14ac:dyDescent="0.25">
      <c r="A43" s="79">
        <f t="shared" si="16"/>
        <v>46064</v>
      </c>
      <c r="B43" s="80">
        <f t="shared" si="17"/>
        <v>4</v>
      </c>
      <c r="C43" s="80" t="str">
        <f t="shared" si="3"/>
        <v>quarta-feira</v>
      </c>
      <c r="D43" s="81" t="str">
        <f t="shared" si="1"/>
        <v/>
      </c>
      <c r="E43" s="80" t="str">
        <f t="shared" si="11"/>
        <v>Sim</v>
      </c>
      <c r="F43" s="80">
        <f>IF(E43="Sim", COUNTIFS($E$2:E43, "Sim", $A$2:A43, "&gt;="&amp;DATE(YEAR(A43), MONTH(A43), 1)), "")</f>
        <v>8</v>
      </c>
      <c r="G43" s="80">
        <f t="shared" si="12"/>
        <v>7</v>
      </c>
      <c r="H43" s="80" t="str">
        <f t="shared" si="6"/>
        <v>2|8</v>
      </c>
    </row>
    <row r="44" spans="1:8" x14ac:dyDescent="0.25">
      <c r="A44" s="79">
        <f t="shared" si="16"/>
        <v>46065</v>
      </c>
      <c r="B44" s="80">
        <f t="shared" si="17"/>
        <v>5</v>
      </c>
      <c r="C44" s="80" t="str">
        <f t="shared" si="3"/>
        <v>quinta-feira</v>
      </c>
      <c r="D44" s="81" t="str">
        <f t="shared" si="1"/>
        <v/>
      </c>
      <c r="E44" s="80" t="str">
        <f t="shared" si="11"/>
        <v>Sim</v>
      </c>
      <c r="F44" s="80">
        <f>IF(E44="Sim", COUNTIFS($E$2:E44, "Sim", $A$2:A44, "&gt;="&amp;DATE(YEAR(A44), MONTH(A44), 1)), "")</f>
        <v>9</v>
      </c>
      <c r="G44" s="80">
        <f t="shared" si="12"/>
        <v>7</v>
      </c>
      <c r="H44" s="80" t="str">
        <f t="shared" si="6"/>
        <v>2|9</v>
      </c>
    </row>
    <row r="45" spans="1:8" x14ac:dyDescent="0.25">
      <c r="A45" s="79">
        <f t="shared" si="16"/>
        <v>46066</v>
      </c>
      <c r="B45" s="80">
        <f t="shared" si="17"/>
        <v>6</v>
      </c>
      <c r="C45" s="80" t="str">
        <f t="shared" si="3"/>
        <v>sexta-feira</v>
      </c>
      <c r="D45" s="81" t="str">
        <f t="shared" si="1"/>
        <v/>
      </c>
      <c r="E45" s="80" t="str">
        <f t="shared" si="11"/>
        <v>Sim</v>
      </c>
      <c r="F45" s="80">
        <f>IF(E45="Sim", COUNTIFS($E$2:E45, "Sim", $A$2:A45, "&gt;="&amp;DATE(YEAR(A45), MONTH(A45), 1)), "")</f>
        <v>10</v>
      </c>
      <c r="G45" s="80">
        <f t="shared" si="12"/>
        <v>7</v>
      </c>
      <c r="H45" s="80" t="str">
        <f t="shared" si="6"/>
        <v>2|10</v>
      </c>
    </row>
    <row r="46" spans="1:8" x14ac:dyDescent="0.25">
      <c r="A46" s="79">
        <f t="shared" si="16"/>
        <v>46067</v>
      </c>
      <c r="B46" s="80">
        <f t="shared" si="17"/>
        <v>7</v>
      </c>
      <c r="C46" s="80" t="str">
        <f t="shared" si="3"/>
        <v>sábado</v>
      </c>
      <c r="D46" s="81" t="str">
        <f t="shared" si="1"/>
        <v/>
      </c>
      <c r="E46" s="80" t="str">
        <f t="shared" si="11"/>
        <v>Não</v>
      </c>
      <c r="F46" s="80" t="str">
        <f>IF(E46="Sim", COUNTIFS($E$2:E46, "Sim", $A$2:A46, "&gt;="&amp;DATE(YEAR(A46), MONTH(A46), 1)), "")</f>
        <v/>
      </c>
      <c r="G46" s="80">
        <f t="shared" si="12"/>
        <v>7</v>
      </c>
      <c r="H46" s="80" t="str">
        <f t="shared" si="6"/>
        <v/>
      </c>
    </row>
    <row r="47" spans="1:8" x14ac:dyDescent="0.25">
      <c r="A47" s="73">
        <f t="shared" ref="A47:A53" si="18">A46+1</f>
        <v>46068</v>
      </c>
      <c r="B47" s="72">
        <f t="shared" ref="B47:B53" si="19">WEEKDAY(A47,1)</f>
        <v>1</v>
      </c>
      <c r="C47" s="72" t="str">
        <f t="shared" si="3"/>
        <v>domingo</v>
      </c>
      <c r="D47" s="78" t="str">
        <f t="shared" si="1"/>
        <v/>
      </c>
      <c r="E47" s="72" t="str">
        <f t="shared" si="11"/>
        <v>Não</v>
      </c>
      <c r="F47" s="72" t="str">
        <f>IF(E47="Sim", COUNTIFS($E$2:E47, "Sim", $A$2:A47, "&gt;="&amp;DATE(YEAR(A47), MONTH(A47), 1)), "")</f>
        <v/>
      </c>
      <c r="G47" s="72">
        <f t="shared" si="12"/>
        <v>8</v>
      </c>
      <c r="H47" s="72" t="str">
        <f t="shared" si="6"/>
        <v/>
      </c>
    </row>
    <row r="48" spans="1:8" x14ac:dyDescent="0.25">
      <c r="A48" s="73">
        <f t="shared" si="18"/>
        <v>46069</v>
      </c>
      <c r="B48" s="72">
        <f t="shared" si="19"/>
        <v>2</v>
      </c>
      <c r="C48" s="72" t="str">
        <f t="shared" si="3"/>
        <v>segunda-feira</v>
      </c>
      <c r="D48" s="78" t="str">
        <f t="shared" si="1"/>
        <v>Sim</v>
      </c>
      <c r="E48" s="72" t="str">
        <f t="shared" si="11"/>
        <v>Não</v>
      </c>
      <c r="F48" s="72" t="str">
        <f>IF(E48="Sim", COUNTIFS($E$2:E48, "Sim", $A$2:A48, "&gt;="&amp;DATE(YEAR(A48), MONTH(A48), 1)), "")</f>
        <v/>
      </c>
      <c r="G48" s="72">
        <f t="shared" si="12"/>
        <v>8</v>
      </c>
      <c r="H48" s="72" t="str">
        <f t="shared" si="6"/>
        <v/>
      </c>
    </row>
    <row r="49" spans="1:8" x14ac:dyDescent="0.25">
      <c r="A49" s="73">
        <f t="shared" si="18"/>
        <v>46070</v>
      </c>
      <c r="B49" s="72">
        <f t="shared" si="19"/>
        <v>3</v>
      </c>
      <c r="C49" s="72" t="str">
        <f t="shared" si="3"/>
        <v>terça-feira</v>
      </c>
      <c r="D49" s="78" t="str">
        <f t="shared" si="1"/>
        <v>Sim</v>
      </c>
      <c r="E49" s="72" t="str">
        <f t="shared" si="11"/>
        <v>Não</v>
      </c>
      <c r="F49" s="72" t="str">
        <f>IF(E49="Sim", COUNTIFS($E$2:E49, "Sim", $A$2:A49, "&gt;="&amp;DATE(YEAR(A49), MONTH(A49), 1)), "")</f>
        <v/>
      </c>
      <c r="G49" s="72">
        <f t="shared" si="12"/>
        <v>8</v>
      </c>
      <c r="H49" s="72" t="str">
        <f t="shared" si="6"/>
        <v/>
      </c>
    </row>
    <row r="50" spans="1:8" x14ac:dyDescent="0.25">
      <c r="A50" s="73">
        <f t="shared" si="18"/>
        <v>46071</v>
      </c>
      <c r="B50" s="72">
        <f t="shared" si="19"/>
        <v>4</v>
      </c>
      <c r="C50" s="72" t="str">
        <f t="shared" si="3"/>
        <v>quarta-feira</v>
      </c>
      <c r="D50" s="78" t="str">
        <f t="shared" si="1"/>
        <v/>
      </c>
      <c r="E50" s="72" t="str">
        <f t="shared" si="11"/>
        <v>Sim</v>
      </c>
      <c r="F50" s="72">
        <f>IF(E50="Sim", COUNTIFS($E$2:E50, "Sim", $A$2:A50, "&gt;="&amp;DATE(YEAR(A50), MONTH(A50), 1)), "")</f>
        <v>11</v>
      </c>
      <c r="G50" s="72">
        <f t="shared" si="12"/>
        <v>8</v>
      </c>
      <c r="H50" s="72" t="str">
        <f t="shared" si="6"/>
        <v>2|11</v>
      </c>
    </row>
    <row r="51" spans="1:8" x14ac:dyDescent="0.25">
      <c r="A51" s="73">
        <f t="shared" si="18"/>
        <v>46072</v>
      </c>
      <c r="B51" s="72">
        <f t="shared" si="19"/>
        <v>5</v>
      </c>
      <c r="C51" s="72" t="str">
        <f t="shared" si="3"/>
        <v>quinta-feira</v>
      </c>
      <c r="D51" s="78" t="str">
        <f t="shared" si="1"/>
        <v/>
      </c>
      <c r="E51" s="72" t="str">
        <f t="shared" si="11"/>
        <v>Sim</v>
      </c>
      <c r="F51" s="72">
        <f>IF(E51="Sim", COUNTIFS($E$2:E51, "Sim", $A$2:A51, "&gt;="&amp;DATE(YEAR(A51), MONTH(A51), 1)), "")</f>
        <v>12</v>
      </c>
      <c r="G51" s="72">
        <f t="shared" si="12"/>
        <v>8</v>
      </c>
      <c r="H51" s="72" t="str">
        <f t="shared" si="6"/>
        <v>2|12</v>
      </c>
    </row>
    <row r="52" spans="1:8" x14ac:dyDescent="0.25">
      <c r="A52" s="73">
        <f t="shared" si="18"/>
        <v>46073</v>
      </c>
      <c r="B52" s="72">
        <f t="shared" si="19"/>
        <v>6</v>
      </c>
      <c r="C52" s="72" t="str">
        <f t="shared" si="3"/>
        <v>sexta-feira</v>
      </c>
      <c r="D52" s="78" t="str">
        <f t="shared" si="1"/>
        <v/>
      </c>
      <c r="E52" s="72" t="str">
        <f t="shared" si="11"/>
        <v>Sim</v>
      </c>
      <c r="F52" s="72">
        <f>IF(E52="Sim", COUNTIFS($E$2:E52, "Sim", $A$2:A52, "&gt;="&amp;DATE(YEAR(A52), MONTH(A52), 1)), "")</f>
        <v>13</v>
      </c>
      <c r="G52" s="72">
        <f t="shared" si="12"/>
        <v>8</v>
      </c>
      <c r="H52" s="72" t="str">
        <f t="shared" si="6"/>
        <v>2|13</v>
      </c>
    </row>
    <row r="53" spans="1:8" x14ac:dyDescent="0.25">
      <c r="A53" s="73">
        <f t="shared" si="18"/>
        <v>46074</v>
      </c>
      <c r="B53" s="72">
        <f t="shared" si="19"/>
        <v>7</v>
      </c>
      <c r="C53" s="72" t="str">
        <f t="shared" si="3"/>
        <v>sábado</v>
      </c>
      <c r="D53" s="78" t="str">
        <f t="shared" si="1"/>
        <v/>
      </c>
      <c r="E53" s="72" t="str">
        <f t="shared" si="11"/>
        <v>Não</v>
      </c>
      <c r="F53" s="72" t="str">
        <f>IF(E53="Sim", COUNTIFS($E$2:E53, "Sim", $A$2:A53, "&gt;="&amp;DATE(YEAR(A53), MONTH(A53), 1)), "")</f>
        <v/>
      </c>
      <c r="G53" s="72">
        <f t="shared" si="12"/>
        <v>8</v>
      </c>
      <c r="H53" s="72" t="str">
        <f t="shared" si="6"/>
        <v/>
      </c>
    </row>
    <row r="54" spans="1:8" x14ac:dyDescent="0.25">
      <c r="A54" s="79">
        <f t="shared" ref="A54:A60" si="20">A53+1</f>
        <v>46075</v>
      </c>
      <c r="B54" s="80">
        <f t="shared" ref="B54:B60" si="21">WEEKDAY(A54,1)</f>
        <v>1</v>
      </c>
      <c r="C54" s="80" t="str">
        <f t="shared" si="3"/>
        <v>domingo</v>
      </c>
      <c r="D54" s="81" t="str">
        <f t="shared" si="1"/>
        <v/>
      </c>
      <c r="E54" s="80" t="str">
        <f t="shared" si="11"/>
        <v>Não</v>
      </c>
      <c r="F54" s="80" t="str">
        <f>IF(E54="Sim", COUNTIFS($E$2:E54, "Sim", $A$2:A54, "&gt;="&amp;DATE(YEAR(A54), MONTH(A54), 1)), "")</f>
        <v/>
      </c>
      <c r="G54" s="80">
        <f t="shared" si="12"/>
        <v>9</v>
      </c>
      <c r="H54" s="80" t="str">
        <f t="shared" si="6"/>
        <v/>
      </c>
    </row>
    <row r="55" spans="1:8" x14ac:dyDescent="0.25">
      <c r="A55" s="79">
        <f t="shared" si="20"/>
        <v>46076</v>
      </c>
      <c r="B55" s="80">
        <f t="shared" si="21"/>
        <v>2</v>
      </c>
      <c r="C55" s="80" t="str">
        <f t="shared" si="3"/>
        <v>segunda-feira</v>
      </c>
      <c r="D55" s="81" t="str">
        <f t="shared" si="1"/>
        <v/>
      </c>
      <c r="E55" s="80" t="str">
        <f t="shared" si="11"/>
        <v>Sim</v>
      </c>
      <c r="F55" s="80">
        <f>IF(E55="Sim", COUNTIFS($E$2:E55, "Sim", $A$2:A55, "&gt;="&amp;DATE(YEAR(A55), MONTH(A55), 1)), "")</f>
        <v>14</v>
      </c>
      <c r="G55" s="80">
        <f t="shared" si="12"/>
        <v>9</v>
      </c>
      <c r="H55" s="80" t="str">
        <f t="shared" si="6"/>
        <v>2|14</v>
      </c>
    </row>
    <row r="56" spans="1:8" x14ac:dyDescent="0.25">
      <c r="A56" s="79">
        <f t="shared" si="20"/>
        <v>46077</v>
      </c>
      <c r="B56" s="80">
        <f t="shared" si="21"/>
        <v>3</v>
      </c>
      <c r="C56" s="80" t="str">
        <f t="shared" si="3"/>
        <v>terça-feira</v>
      </c>
      <c r="D56" s="81" t="str">
        <f t="shared" si="1"/>
        <v/>
      </c>
      <c r="E56" s="80" t="str">
        <f t="shared" si="11"/>
        <v>Sim</v>
      </c>
      <c r="F56" s="80">
        <f>IF(E56="Sim", COUNTIFS($E$2:E56, "Sim", $A$2:A56, "&gt;="&amp;DATE(YEAR(A56), MONTH(A56), 1)), "")</f>
        <v>15</v>
      </c>
      <c r="G56" s="80">
        <f t="shared" si="12"/>
        <v>9</v>
      </c>
      <c r="H56" s="80" t="str">
        <f t="shared" si="6"/>
        <v>2|15</v>
      </c>
    </row>
    <row r="57" spans="1:8" x14ac:dyDescent="0.25">
      <c r="A57" s="79">
        <f t="shared" si="20"/>
        <v>46078</v>
      </c>
      <c r="B57" s="80">
        <f t="shared" si="21"/>
        <v>4</v>
      </c>
      <c r="C57" s="80" t="str">
        <f t="shared" si="3"/>
        <v>quarta-feira</v>
      </c>
      <c r="D57" s="81" t="str">
        <f t="shared" si="1"/>
        <v/>
      </c>
      <c r="E57" s="80" t="str">
        <f t="shared" si="11"/>
        <v>Sim</v>
      </c>
      <c r="F57" s="80">
        <f>IF(E57="Sim", COUNTIFS($E$2:E57, "Sim", $A$2:A57, "&gt;="&amp;DATE(YEAR(A57), MONTH(A57), 1)), "")</f>
        <v>16</v>
      </c>
      <c r="G57" s="80">
        <f t="shared" si="12"/>
        <v>9</v>
      </c>
      <c r="H57" s="80" t="str">
        <f t="shared" si="6"/>
        <v>2|16</v>
      </c>
    </row>
    <row r="58" spans="1:8" x14ac:dyDescent="0.25">
      <c r="A58" s="79">
        <f t="shared" si="20"/>
        <v>46079</v>
      </c>
      <c r="B58" s="80">
        <f t="shared" si="21"/>
        <v>5</v>
      </c>
      <c r="C58" s="80" t="str">
        <f t="shared" si="3"/>
        <v>quinta-feira</v>
      </c>
      <c r="D58" s="81" t="str">
        <f t="shared" si="1"/>
        <v/>
      </c>
      <c r="E58" s="80" t="str">
        <f t="shared" si="11"/>
        <v>Sim</v>
      </c>
      <c r="F58" s="80">
        <f>IF(E58="Sim", COUNTIFS($E$2:E58, "Sim", $A$2:A58, "&gt;="&amp;DATE(YEAR(A58), MONTH(A58), 1)), "")</f>
        <v>17</v>
      </c>
      <c r="G58" s="80">
        <f t="shared" si="12"/>
        <v>9</v>
      </c>
      <c r="H58" s="80" t="str">
        <f t="shared" si="6"/>
        <v>2|17</v>
      </c>
    </row>
    <row r="59" spans="1:8" x14ac:dyDescent="0.25">
      <c r="A59" s="79">
        <f t="shared" si="20"/>
        <v>46080</v>
      </c>
      <c r="B59" s="80">
        <f t="shared" si="21"/>
        <v>6</v>
      </c>
      <c r="C59" s="80" t="str">
        <f t="shared" si="3"/>
        <v>sexta-feira</v>
      </c>
      <c r="D59" s="81" t="str">
        <f t="shared" si="1"/>
        <v/>
      </c>
      <c r="E59" s="80" t="str">
        <f t="shared" si="11"/>
        <v>Sim</v>
      </c>
      <c r="F59" s="80">
        <f>IF(E59="Sim", COUNTIFS($E$2:E59, "Sim", $A$2:A59, "&gt;="&amp;DATE(YEAR(A59), MONTH(A59), 1)), "")</f>
        <v>18</v>
      </c>
      <c r="G59" s="80">
        <f t="shared" si="12"/>
        <v>9</v>
      </c>
      <c r="H59" s="80" t="str">
        <f t="shared" si="6"/>
        <v>2|18</v>
      </c>
    </row>
    <row r="60" spans="1:8" x14ac:dyDescent="0.25">
      <c r="A60" s="79">
        <f t="shared" si="20"/>
        <v>46081</v>
      </c>
      <c r="B60" s="80">
        <f t="shared" si="21"/>
        <v>7</v>
      </c>
      <c r="C60" s="80" t="str">
        <f t="shared" si="3"/>
        <v>sábado</v>
      </c>
      <c r="D60" s="81" t="str">
        <f t="shared" si="1"/>
        <v/>
      </c>
      <c r="E60" s="80" t="str">
        <f t="shared" si="11"/>
        <v>Não</v>
      </c>
      <c r="F60" s="80" t="str">
        <f>IF(E60="Sim", COUNTIFS($E$2:E60, "Sim", $A$2:A60, "&gt;="&amp;DATE(YEAR(A60), MONTH(A60), 1)), "")</f>
        <v/>
      </c>
      <c r="G60" s="80">
        <f t="shared" si="12"/>
        <v>9</v>
      </c>
      <c r="H60" s="80" t="str">
        <f t="shared" si="6"/>
        <v/>
      </c>
    </row>
    <row r="61" spans="1:8" x14ac:dyDescent="0.25">
      <c r="A61" s="73">
        <f t="shared" ref="A61:A67" si="22">A60+1</f>
        <v>46082</v>
      </c>
      <c r="B61" s="72">
        <f t="shared" ref="B61:B67" si="23">WEEKDAY(A61,1)</f>
        <v>1</v>
      </c>
      <c r="C61" s="72" t="str">
        <f t="shared" si="3"/>
        <v>domingo</v>
      </c>
      <c r="D61" s="78" t="str">
        <f t="shared" si="1"/>
        <v/>
      </c>
      <c r="E61" s="72" t="str">
        <f t="shared" si="11"/>
        <v>Não</v>
      </c>
      <c r="F61" s="72" t="str">
        <f>IF(E61="Sim", COUNTIFS($E$2:E61, "Sim", $A$2:A61, "&gt;="&amp;DATE(YEAR(A61), MONTH(A61), 1)), "")</f>
        <v/>
      </c>
      <c r="G61" s="72">
        <f t="shared" si="12"/>
        <v>10</v>
      </c>
      <c r="H61" s="72" t="str">
        <f t="shared" si="6"/>
        <v/>
      </c>
    </row>
    <row r="62" spans="1:8" x14ac:dyDescent="0.25">
      <c r="A62" s="73">
        <f t="shared" si="22"/>
        <v>46083</v>
      </c>
      <c r="B62" s="72">
        <f t="shared" si="23"/>
        <v>2</v>
      </c>
      <c r="C62" s="72" t="str">
        <f t="shared" si="3"/>
        <v>segunda-feira</v>
      </c>
      <c r="D62" s="78" t="str">
        <f t="shared" si="1"/>
        <v/>
      </c>
      <c r="E62" s="72" t="str">
        <f t="shared" si="11"/>
        <v>Sim</v>
      </c>
      <c r="F62" s="72">
        <f>IF(E62="Sim", COUNTIFS($E$2:E62, "Sim", $A$2:A62, "&gt;="&amp;DATE(YEAR(A62), MONTH(A62), 1)), "")</f>
        <v>1</v>
      </c>
      <c r="G62" s="72">
        <f t="shared" si="12"/>
        <v>10</v>
      </c>
      <c r="H62" s="72" t="str">
        <f t="shared" si="6"/>
        <v>3|1</v>
      </c>
    </row>
    <row r="63" spans="1:8" x14ac:dyDescent="0.25">
      <c r="A63" s="73">
        <f t="shared" si="22"/>
        <v>46084</v>
      </c>
      <c r="B63" s="72">
        <f t="shared" si="23"/>
        <v>3</v>
      </c>
      <c r="C63" s="72" t="str">
        <f t="shared" si="3"/>
        <v>terça-feira</v>
      </c>
      <c r="D63" s="78" t="str">
        <f t="shared" si="1"/>
        <v/>
      </c>
      <c r="E63" s="72" t="str">
        <f t="shared" si="11"/>
        <v>Sim</v>
      </c>
      <c r="F63" s="72">
        <f>IF(E63="Sim", COUNTIFS($E$2:E63, "Sim", $A$2:A63, "&gt;="&amp;DATE(YEAR(A63), MONTH(A63), 1)), "")</f>
        <v>2</v>
      </c>
      <c r="G63" s="72">
        <f t="shared" si="12"/>
        <v>10</v>
      </c>
      <c r="H63" s="72" t="str">
        <f t="shared" si="6"/>
        <v>3|2</v>
      </c>
    </row>
    <row r="64" spans="1:8" x14ac:dyDescent="0.25">
      <c r="A64" s="73">
        <f t="shared" si="22"/>
        <v>46085</v>
      </c>
      <c r="B64" s="72">
        <f t="shared" si="23"/>
        <v>4</v>
      </c>
      <c r="C64" s="72" t="str">
        <f t="shared" si="3"/>
        <v>quarta-feira</v>
      </c>
      <c r="D64" s="78" t="str">
        <f t="shared" si="1"/>
        <v/>
      </c>
      <c r="E64" s="72" t="str">
        <f t="shared" si="11"/>
        <v>Sim</v>
      </c>
      <c r="F64" s="72">
        <f>IF(E64="Sim", COUNTIFS($E$2:E64, "Sim", $A$2:A64, "&gt;="&amp;DATE(YEAR(A64), MONTH(A64), 1)), "")</f>
        <v>3</v>
      </c>
      <c r="G64" s="72">
        <f t="shared" si="12"/>
        <v>10</v>
      </c>
      <c r="H64" s="72" t="str">
        <f t="shared" si="6"/>
        <v>3|3</v>
      </c>
    </row>
    <row r="65" spans="1:8" x14ac:dyDescent="0.25">
      <c r="A65" s="73">
        <f t="shared" si="22"/>
        <v>46086</v>
      </c>
      <c r="B65" s="72">
        <f t="shared" si="23"/>
        <v>5</v>
      </c>
      <c r="C65" s="72" t="str">
        <f t="shared" si="3"/>
        <v>quinta-feira</v>
      </c>
      <c r="D65" s="78" t="str">
        <f t="shared" si="1"/>
        <v/>
      </c>
      <c r="E65" s="72" t="str">
        <f t="shared" si="11"/>
        <v>Sim</v>
      </c>
      <c r="F65" s="72">
        <f>IF(E65="Sim", COUNTIFS($E$2:E65, "Sim", $A$2:A65, "&gt;="&amp;DATE(YEAR(A65), MONTH(A65), 1)), "")</f>
        <v>4</v>
      </c>
      <c r="G65" s="72">
        <f t="shared" si="12"/>
        <v>10</v>
      </c>
      <c r="H65" s="72" t="str">
        <f t="shared" si="6"/>
        <v>3|4</v>
      </c>
    </row>
    <row r="66" spans="1:8" x14ac:dyDescent="0.25">
      <c r="A66" s="73">
        <f t="shared" si="22"/>
        <v>46087</v>
      </c>
      <c r="B66" s="72">
        <f t="shared" si="23"/>
        <v>6</v>
      </c>
      <c r="C66" s="72" t="str">
        <f t="shared" si="3"/>
        <v>sexta-feira</v>
      </c>
      <c r="D66" s="78" t="str">
        <f t="shared" ref="D66:D129" si="24">IF(_xlfn.XLOOKUP(A66,J:J,J:J,0,0)=A66,"Sim","")</f>
        <v/>
      </c>
      <c r="E66" s="72" t="str">
        <f t="shared" si="11"/>
        <v>Sim</v>
      </c>
      <c r="F66" s="72">
        <f>IF(E66="Sim", COUNTIFS($E$2:E66, "Sim", $A$2:A66, "&gt;="&amp;DATE(YEAR(A66), MONTH(A66), 1)), "")</f>
        <v>5</v>
      </c>
      <c r="G66" s="72">
        <f t="shared" si="12"/>
        <v>10</v>
      </c>
      <c r="H66" s="72" t="str">
        <f t="shared" si="6"/>
        <v>3|5</v>
      </c>
    </row>
    <row r="67" spans="1:8" x14ac:dyDescent="0.25">
      <c r="A67" s="73">
        <f t="shared" si="22"/>
        <v>46088</v>
      </c>
      <c r="B67" s="72">
        <f t="shared" si="23"/>
        <v>7</v>
      </c>
      <c r="C67" s="72" t="str">
        <f t="shared" ref="C67:C130" si="25">TEXT(B67,"ddddd")</f>
        <v>sábado</v>
      </c>
      <c r="D67" s="78" t="str">
        <f t="shared" si="24"/>
        <v/>
      </c>
      <c r="E67" s="72" t="str">
        <f t="shared" si="11"/>
        <v>Não</v>
      </c>
      <c r="F67" s="72" t="str">
        <f>IF(E67="Sim", COUNTIFS($E$2:E67, "Sim", $A$2:A67, "&gt;="&amp;DATE(YEAR(A67), MONTH(A67), 1)), "")</f>
        <v/>
      </c>
      <c r="G67" s="72">
        <f t="shared" si="12"/>
        <v>10</v>
      </c>
      <c r="H67" s="72" t="str">
        <f t="shared" ref="H67:H130" si="26">IF(F67="","",MONTH(A67)&amp;"|"&amp;F67)</f>
        <v/>
      </c>
    </row>
    <row r="68" spans="1:8" x14ac:dyDescent="0.25">
      <c r="A68" s="79">
        <f t="shared" ref="A68:A74" si="27">A67+1</f>
        <v>46089</v>
      </c>
      <c r="B68" s="80">
        <f t="shared" ref="B68:B88" si="28">WEEKDAY(A68,1)</f>
        <v>1</v>
      </c>
      <c r="C68" s="80" t="str">
        <f t="shared" si="25"/>
        <v>domingo</v>
      </c>
      <c r="D68" s="81" t="str">
        <f t="shared" si="24"/>
        <v/>
      </c>
      <c r="E68" s="80" t="str">
        <f t="shared" si="11"/>
        <v>Não</v>
      </c>
      <c r="F68" s="80" t="str">
        <f>IF(E68="Sim", COUNTIFS($E$2:E68, "Sim", $A$2:A68, "&gt;="&amp;DATE(YEAR(A68), MONTH(A68), 1)), "")</f>
        <v/>
      </c>
      <c r="G68" s="80">
        <f t="shared" si="12"/>
        <v>11</v>
      </c>
      <c r="H68" s="80" t="str">
        <f t="shared" si="26"/>
        <v/>
      </c>
    </row>
    <row r="69" spans="1:8" x14ac:dyDescent="0.25">
      <c r="A69" s="79">
        <f t="shared" si="27"/>
        <v>46090</v>
      </c>
      <c r="B69" s="80">
        <f t="shared" si="28"/>
        <v>2</v>
      </c>
      <c r="C69" s="80" t="str">
        <f t="shared" si="25"/>
        <v>segunda-feira</v>
      </c>
      <c r="D69" s="81" t="str">
        <f t="shared" si="24"/>
        <v/>
      </c>
      <c r="E69" s="80" t="str">
        <f t="shared" si="11"/>
        <v>Sim</v>
      </c>
      <c r="F69" s="80">
        <f>IF(E69="Sim", COUNTIFS($E$2:E69, "Sim", $A$2:A69, "&gt;="&amp;DATE(YEAR(A69), MONTH(A69), 1)), "")</f>
        <v>6</v>
      </c>
      <c r="G69" s="80">
        <f t="shared" si="12"/>
        <v>11</v>
      </c>
      <c r="H69" s="80" t="str">
        <f t="shared" si="26"/>
        <v>3|6</v>
      </c>
    </row>
    <row r="70" spans="1:8" x14ac:dyDescent="0.25">
      <c r="A70" s="79">
        <f t="shared" si="27"/>
        <v>46091</v>
      </c>
      <c r="B70" s="80">
        <f t="shared" si="28"/>
        <v>3</v>
      </c>
      <c r="C70" s="80" t="str">
        <f t="shared" si="25"/>
        <v>terça-feira</v>
      </c>
      <c r="D70" s="81" t="str">
        <f t="shared" si="24"/>
        <v/>
      </c>
      <c r="E70" s="80" t="str">
        <f t="shared" si="11"/>
        <v>Sim</v>
      </c>
      <c r="F70" s="80">
        <f>IF(E70="Sim", COUNTIFS($E$2:E70, "Sim", $A$2:A70, "&gt;="&amp;DATE(YEAR(A70), MONTH(A70), 1)), "")</f>
        <v>7</v>
      </c>
      <c r="G70" s="80">
        <f t="shared" si="12"/>
        <v>11</v>
      </c>
      <c r="H70" s="80" t="str">
        <f t="shared" si="26"/>
        <v>3|7</v>
      </c>
    </row>
    <row r="71" spans="1:8" x14ac:dyDescent="0.25">
      <c r="A71" s="79">
        <f t="shared" si="27"/>
        <v>46092</v>
      </c>
      <c r="B71" s="80">
        <f t="shared" si="28"/>
        <v>4</v>
      </c>
      <c r="C71" s="80" t="str">
        <f t="shared" si="25"/>
        <v>quarta-feira</v>
      </c>
      <c r="D71" s="81" t="str">
        <f t="shared" si="24"/>
        <v/>
      </c>
      <c r="E71" s="80" t="str">
        <f t="shared" si="11"/>
        <v>Sim</v>
      </c>
      <c r="F71" s="80">
        <f>IF(E71="Sim", COUNTIFS($E$2:E71, "Sim", $A$2:A71, "&gt;="&amp;DATE(YEAR(A71), MONTH(A71), 1)), "")</f>
        <v>8</v>
      </c>
      <c r="G71" s="80">
        <f t="shared" si="12"/>
        <v>11</v>
      </c>
      <c r="H71" s="80" t="str">
        <f t="shared" si="26"/>
        <v>3|8</v>
      </c>
    </row>
    <row r="72" spans="1:8" x14ac:dyDescent="0.25">
      <c r="A72" s="79">
        <f t="shared" si="27"/>
        <v>46093</v>
      </c>
      <c r="B72" s="80">
        <f t="shared" si="28"/>
        <v>5</v>
      </c>
      <c r="C72" s="80" t="str">
        <f t="shared" si="25"/>
        <v>quinta-feira</v>
      </c>
      <c r="D72" s="81" t="str">
        <f t="shared" si="24"/>
        <v/>
      </c>
      <c r="E72" s="80" t="str">
        <f t="shared" si="11"/>
        <v>Sim</v>
      </c>
      <c r="F72" s="80">
        <f>IF(E72="Sim", COUNTIFS($E$2:E72, "Sim", $A$2:A72, "&gt;="&amp;DATE(YEAR(A72), MONTH(A72), 1)), "")</f>
        <v>9</v>
      </c>
      <c r="G72" s="80">
        <f t="shared" si="12"/>
        <v>11</v>
      </c>
      <c r="H72" s="80" t="str">
        <f t="shared" si="26"/>
        <v>3|9</v>
      </c>
    </row>
    <row r="73" spans="1:8" x14ac:dyDescent="0.25">
      <c r="A73" s="79">
        <f t="shared" si="27"/>
        <v>46094</v>
      </c>
      <c r="B73" s="80">
        <f t="shared" si="28"/>
        <v>6</v>
      </c>
      <c r="C73" s="80" t="str">
        <f t="shared" si="25"/>
        <v>sexta-feira</v>
      </c>
      <c r="D73" s="81" t="str">
        <f t="shared" si="24"/>
        <v/>
      </c>
      <c r="E73" s="80" t="str">
        <f t="shared" si="11"/>
        <v>Sim</v>
      </c>
      <c r="F73" s="80">
        <f>IF(E73="Sim", COUNTIFS($E$2:E73, "Sim", $A$2:A73, "&gt;="&amp;DATE(YEAR(A73), MONTH(A73), 1)), "")</f>
        <v>10</v>
      </c>
      <c r="G73" s="80">
        <f t="shared" si="12"/>
        <v>11</v>
      </c>
      <c r="H73" s="80" t="str">
        <f t="shared" si="26"/>
        <v>3|10</v>
      </c>
    </row>
    <row r="74" spans="1:8" x14ac:dyDescent="0.25">
      <c r="A74" s="79">
        <f t="shared" si="27"/>
        <v>46095</v>
      </c>
      <c r="B74" s="80">
        <f t="shared" si="28"/>
        <v>7</v>
      </c>
      <c r="C74" s="80" t="str">
        <f t="shared" si="25"/>
        <v>sábado</v>
      </c>
      <c r="D74" s="81" t="str">
        <f t="shared" si="24"/>
        <v/>
      </c>
      <c r="E74" s="80" t="str">
        <f t="shared" si="11"/>
        <v>Não</v>
      </c>
      <c r="F74" s="80" t="str">
        <f>IF(E74="Sim", COUNTIFS($E$2:E74, "Sim", $A$2:A74, "&gt;="&amp;DATE(YEAR(A74), MONTH(A74), 1)), "")</f>
        <v/>
      </c>
      <c r="G74" s="80">
        <f t="shared" si="12"/>
        <v>11</v>
      </c>
      <c r="H74" s="80" t="str">
        <f t="shared" si="26"/>
        <v/>
      </c>
    </row>
    <row r="75" spans="1:8" x14ac:dyDescent="0.25">
      <c r="A75" s="73">
        <f t="shared" ref="A75:A81" si="29">A74+1</f>
        <v>46096</v>
      </c>
      <c r="B75" s="72">
        <f t="shared" ref="B75:B81" si="30">WEEKDAY(A75,1)</f>
        <v>1</v>
      </c>
      <c r="C75" s="72" t="str">
        <f t="shared" si="25"/>
        <v>domingo</v>
      </c>
      <c r="D75" s="78" t="str">
        <f t="shared" si="24"/>
        <v/>
      </c>
      <c r="E75" s="72" t="str">
        <f t="shared" ref="E75:E138" si="31">IF(OR(B75=1,B75=7,D75&lt;&gt;""),"Não","Sim")</f>
        <v>Não</v>
      </c>
      <c r="F75" s="72" t="str">
        <f>IF(E75="Sim", COUNTIFS($E$2:E75, "Sim", $A$2:A75, "&gt;="&amp;DATE(YEAR(A75), MONTH(A75), 1)), "")</f>
        <v/>
      </c>
      <c r="G75" s="72">
        <f t="shared" ref="G75:G138" si="32">WEEKNUM(A75)</f>
        <v>12</v>
      </c>
      <c r="H75" s="72" t="str">
        <f t="shared" si="26"/>
        <v/>
      </c>
    </row>
    <row r="76" spans="1:8" x14ac:dyDescent="0.25">
      <c r="A76" s="73">
        <f t="shared" si="29"/>
        <v>46097</v>
      </c>
      <c r="B76" s="72">
        <f t="shared" si="30"/>
        <v>2</v>
      </c>
      <c r="C76" s="72" t="str">
        <f t="shared" si="25"/>
        <v>segunda-feira</v>
      </c>
      <c r="D76" s="78" t="str">
        <f t="shared" si="24"/>
        <v/>
      </c>
      <c r="E76" s="72" t="str">
        <f t="shared" si="31"/>
        <v>Sim</v>
      </c>
      <c r="F76" s="72">
        <f>IF(E76="Sim", COUNTIFS($E$2:E76, "Sim", $A$2:A76, "&gt;="&amp;DATE(YEAR(A76), MONTH(A76), 1)), "")</f>
        <v>11</v>
      </c>
      <c r="G76" s="72">
        <f t="shared" si="32"/>
        <v>12</v>
      </c>
      <c r="H76" s="72" t="str">
        <f t="shared" si="26"/>
        <v>3|11</v>
      </c>
    </row>
    <row r="77" spans="1:8" x14ac:dyDescent="0.25">
      <c r="A77" s="73">
        <f t="shared" si="29"/>
        <v>46098</v>
      </c>
      <c r="B77" s="72">
        <f t="shared" si="30"/>
        <v>3</v>
      </c>
      <c r="C77" s="72" t="str">
        <f t="shared" si="25"/>
        <v>terça-feira</v>
      </c>
      <c r="D77" s="78" t="str">
        <f t="shared" si="24"/>
        <v/>
      </c>
      <c r="E77" s="72" t="str">
        <f t="shared" si="31"/>
        <v>Sim</v>
      </c>
      <c r="F77" s="72">
        <f>IF(E77="Sim", COUNTIFS($E$2:E77, "Sim", $A$2:A77, "&gt;="&amp;DATE(YEAR(A77), MONTH(A77), 1)), "")</f>
        <v>12</v>
      </c>
      <c r="G77" s="72">
        <f t="shared" si="32"/>
        <v>12</v>
      </c>
      <c r="H77" s="72" t="str">
        <f t="shared" si="26"/>
        <v>3|12</v>
      </c>
    </row>
    <row r="78" spans="1:8" x14ac:dyDescent="0.25">
      <c r="A78" s="73">
        <f t="shared" si="29"/>
        <v>46099</v>
      </c>
      <c r="B78" s="72">
        <f t="shared" si="30"/>
        <v>4</v>
      </c>
      <c r="C78" s="72" t="str">
        <f t="shared" si="25"/>
        <v>quarta-feira</v>
      </c>
      <c r="D78" s="78" t="str">
        <f t="shared" si="24"/>
        <v/>
      </c>
      <c r="E78" s="72" t="str">
        <f t="shared" si="31"/>
        <v>Sim</v>
      </c>
      <c r="F78" s="72">
        <f>IF(E78="Sim", COUNTIFS($E$2:E78, "Sim", $A$2:A78, "&gt;="&amp;DATE(YEAR(A78), MONTH(A78), 1)), "")</f>
        <v>13</v>
      </c>
      <c r="G78" s="72">
        <f t="shared" si="32"/>
        <v>12</v>
      </c>
      <c r="H78" s="72" t="str">
        <f t="shared" si="26"/>
        <v>3|13</v>
      </c>
    </row>
    <row r="79" spans="1:8" x14ac:dyDescent="0.25">
      <c r="A79" s="73">
        <f t="shared" si="29"/>
        <v>46100</v>
      </c>
      <c r="B79" s="72">
        <f t="shared" si="30"/>
        <v>5</v>
      </c>
      <c r="C79" s="72" t="str">
        <f t="shared" si="25"/>
        <v>quinta-feira</v>
      </c>
      <c r="D79" s="78" t="str">
        <f t="shared" si="24"/>
        <v/>
      </c>
      <c r="E79" s="72" t="str">
        <f t="shared" si="31"/>
        <v>Sim</v>
      </c>
      <c r="F79" s="72">
        <f>IF(E79="Sim", COUNTIFS($E$2:E79, "Sim", $A$2:A79, "&gt;="&amp;DATE(YEAR(A79), MONTH(A79), 1)), "")</f>
        <v>14</v>
      </c>
      <c r="G79" s="72">
        <f t="shared" si="32"/>
        <v>12</v>
      </c>
      <c r="H79" s="72" t="str">
        <f t="shared" si="26"/>
        <v>3|14</v>
      </c>
    </row>
    <row r="80" spans="1:8" x14ac:dyDescent="0.25">
      <c r="A80" s="73">
        <f t="shared" si="29"/>
        <v>46101</v>
      </c>
      <c r="B80" s="72">
        <f t="shared" si="30"/>
        <v>6</v>
      </c>
      <c r="C80" s="72" t="str">
        <f t="shared" si="25"/>
        <v>sexta-feira</v>
      </c>
      <c r="D80" s="78" t="str">
        <f t="shared" si="24"/>
        <v/>
      </c>
      <c r="E80" s="72" t="str">
        <f t="shared" si="31"/>
        <v>Sim</v>
      </c>
      <c r="F80" s="72">
        <f>IF(E80="Sim", COUNTIFS($E$2:E80, "Sim", $A$2:A80, "&gt;="&amp;DATE(YEAR(A80), MONTH(A80), 1)), "")</f>
        <v>15</v>
      </c>
      <c r="G80" s="72">
        <f t="shared" si="32"/>
        <v>12</v>
      </c>
      <c r="H80" s="72" t="str">
        <f t="shared" si="26"/>
        <v>3|15</v>
      </c>
    </row>
    <row r="81" spans="1:8" x14ac:dyDescent="0.25">
      <c r="A81" s="73">
        <f t="shared" si="29"/>
        <v>46102</v>
      </c>
      <c r="B81" s="72">
        <f t="shared" si="30"/>
        <v>7</v>
      </c>
      <c r="C81" s="72" t="str">
        <f t="shared" si="25"/>
        <v>sábado</v>
      </c>
      <c r="D81" s="78" t="str">
        <f t="shared" si="24"/>
        <v/>
      </c>
      <c r="E81" s="72" t="str">
        <f t="shared" si="31"/>
        <v>Não</v>
      </c>
      <c r="F81" s="72" t="str">
        <f>IF(E81="Sim", COUNTIFS($E$2:E81, "Sim", $A$2:A81, "&gt;="&amp;DATE(YEAR(A81), MONTH(A81), 1)), "")</f>
        <v/>
      </c>
      <c r="G81" s="72">
        <f t="shared" si="32"/>
        <v>12</v>
      </c>
      <c r="H81" s="72" t="str">
        <f t="shared" si="26"/>
        <v/>
      </c>
    </row>
    <row r="82" spans="1:8" x14ac:dyDescent="0.25">
      <c r="A82" s="79">
        <f t="shared" ref="A82:A88" si="33">A81+1</f>
        <v>46103</v>
      </c>
      <c r="B82" s="80">
        <f t="shared" si="28"/>
        <v>1</v>
      </c>
      <c r="C82" s="80" t="str">
        <f t="shared" si="25"/>
        <v>domingo</v>
      </c>
      <c r="D82" s="81" t="str">
        <f t="shared" si="24"/>
        <v/>
      </c>
      <c r="E82" s="80" t="str">
        <f t="shared" si="31"/>
        <v>Não</v>
      </c>
      <c r="F82" s="80" t="str">
        <f>IF(E82="Sim", COUNTIFS($E$2:E82, "Sim", $A$2:A82, "&gt;="&amp;DATE(YEAR(A82), MONTH(A82), 1)), "")</f>
        <v/>
      </c>
      <c r="G82" s="80">
        <f t="shared" si="32"/>
        <v>13</v>
      </c>
      <c r="H82" s="80" t="str">
        <f t="shared" si="26"/>
        <v/>
      </c>
    </row>
    <row r="83" spans="1:8" x14ac:dyDescent="0.25">
      <c r="A83" s="79">
        <f t="shared" si="33"/>
        <v>46104</v>
      </c>
      <c r="B83" s="80">
        <f t="shared" si="28"/>
        <v>2</v>
      </c>
      <c r="C83" s="80" t="str">
        <f t="shared" si="25"/>
        <v>segunda-feira</v>
      </c>
      <c r="D83" s="81" t="str">
        <f t="shared" si="24"/>
        <v/>
      </c>
      <c r="E83" s="80" t="str">
        <f t="shared" si="31"/>
        <v>Sim</v>
      </c>
      <c r="F83" s="80">
        <f>IF(E83="Sim", COUNTIFS($E$2:E83, "Sim", $A$2:A83, "&gt;="&amp;DATE(YEAR(A83), MONTH(A83), 1)), "")</f>
        <v>16</v>
      </c>
      <c r="G83" s="80">
        <f t="shared" si="32"/>
        <v>13</v>
      </c>
      <c r="H83" s="80" t="str">
        <f t="shared" si="26"/>
        <v>3|16</v>
      </c>
    </row>
    <row r="84" spans="1:8" x14ac:dyDescent="0.25">
      <c r="A84" s="79">
        <f t="shared" si="33"/>
        <v>46105</v>
      </c>
      <c r="B84" s="80">
        <f t="shared" si="28"/>
        <v>3</v>
      </c>
      <c r="C84" s="80" t="str">
        <f t="shared" si="25"/>
        <v>terça-feira</v>
      </c>
      <c r="D84" s="81" t="str">
        <f t="shared" si="24"/>
        <v/>
      </c>
      <c r="E84" s="80" t="str">
        <f t="shared" si="31"/>
        <v>Sim</v>
      </c>
      <c r="F84" s="80">
        <f>IF(E84="Sim", COUNTIFS($E$2:E84, "Sim", $A$2:A84, "&gt;="&amp;DATE(YEAR(A84), MONTH(A84), 1)), "")</f>
        <v>17</v>
      </c>
      <c r="G84" s="80">
        <f t="shared" si="32"/>
        <v>13</v>
      </c>
      <c r="H84" s="80" t="str">
        <f t="shared" si="26"/>
        <v>3|17</v>
      </c>
    </row>
    <row r="85" spans="1:8" x14ac:dyDescent="0.25">
      <c r="A85" s="79">
        <f t="shared" si="33"/>
        <v>46106</v>
      </c>
      <c r="B85" s="80">
        <f t="shared" si="28"/>
        <v>4</v>
      </c>
      <c r="C85" s="80" t="str">
        <f t="shared" si="25"/>
        <v>quarta-feira</v>
      </c>
      <c r="D85" s="81" t="str">
        <f t="shared" si="24"/>
        <v/>
      </c>
      <c r="E85" s="80" t="str">
        <f t="shared" si="31"/>
        <v>Sim</v>
      </c>
      <c r="F85" s="80">
        <f>IF(E85="Sim", COUNTIFS($E$2:E85, "Sim", $A$2:A85, "&gt;="&amp;DATE(YEAR(A85), MONTH(A85), 1)), "")</f>
        <v>18</v>
      </c>
      <c r="G85" s="80">
        <f t="shared" si="32"/>
        <v>13</v>
      </c>
      <c r="H85" s="80" t="str">
        <f t="shared" si="26"/>
        <v>3|18</v>
      </c>
    </row>
    <row r="86" spans="1:8" x14ac:dyDescent="0.25">
      <c r="A86" s="79">
        <f t="shared" si="33"/>
        <v>46107</v>
      </c>
      <c r="B86" s="80">
        <f t="shared" si="28"/>
        <v>5</v>
      </c>
      <c r="C86" s="80" t="str">
        <f t="shared" si="25"/>
        <v>quinta-feira</v>
      </c>
      <c r="D86" s="81" t="str">
        <f t="shared" si="24"/>
        <v/>
      </c>
      <c r="E86" s="80" t="str">
        <f t="shared" si="31"/>
        <v>Sim</v>
      </c>
      <c r="F86" s="80">
        <f>IF(E86="Sim", COUNTIFS($E$2:E86, "Sim", $A$2:A86, "&gt;="&amp;DATE(YEAR(A86), MONTH(A86), 1)), "")</f>
        <v>19</v>
      </c>
      <c r="G86" s="80">
        <f t="shared" si="32"/>
        <v>13</v>
      </c>
      <c r="H86" s="80" t="str">
        <f t="shared" si="26"/>
        <v>3|19</v>
      </c>
    </row>
    <row r="87" spans="1:8" x14ac:dyDescent="0.25">
      <c r="A87" s="79">
        <f t="shared" si="33"/>
        <v>46108</v>
      </c>
      <c r="B87" s="80">
        <f t="shared" si="28"/>
        <v>6</v>
      </c>
      <c r="C87" s="80" t="str">
        <f t="shared" si="25"/>
        <v>sexta-feira</v>
      </c>
      <c r="D87" s="81" t="str">
        <f t="shared" si="24"/>
        <v/>
      </c>
      <c r="E87" s="80" t="str">
        <f t="shared" si="31"/>
        <v>Sim</v>
      </c>
      <c r="F87" s="80">
        <f>IF(E87="Sim", COUNTIFS($E$2:E87, "Sim", $A$2:A87, "&gt;="&amp;DATE(YEAR(A87), MONTH(A87), 1)), "")</f>
        <v>20</v>
      </c>
      <c r="G87" s="80">
        <f t="shared" si="32"/>
        <v>13</v>
      </c>
      <c r="H87" s="80" t="str">
        <f t="shared" si="26"/>
        <v>3|20</v>
      </c>
    </row>
    <row r="88" spans="1:8" x14ac:dyDescent="0.25">
      <c r="A88" s="79">
        <f t="shared" si="33"/>
        <v>46109</v>
      </c>
      <c r="B88" s="80">
        <f t="shared" si="28"/>
        <v>7</v>
      </c>
      <c r="C88" s="80" t="str">
        <f t="shared" si="25"/>
        <v>sábado</v>
      </c>
      <c r="D88" s="81" t="str">
        <f t="shared" si="24"/>
        <v/>
      </c>
      <c r="E88" s="80" t="str">
        <f t="shared" si="31"/>
        <v>Não</v>
      </c>
      <c r="F88" s="80" t="str">
        <f>IF(E88="Sim", COUNTIFS($E$2:E88, "Sim", $A$2:A88, "&gt;="&amp;DATE(YEAR(A88), MONTH(A88), 1)), "")</f>
        <v/>
      </c>
      <c r="G88" s="80">
        <f t="shared" si="32"/>
        <v>13</v>
      </c>
      <c r="H88" s="80" t="str">
        <f t="shared" si="26"/>
        <v/>
      </c>
    </row>
    <row r="89" spans="1:8" x14ac:dyDescent="0.25">
      <c r="A89" s="73">
        <f t="shared" ref="A89:A95" si="34">A88+1</f>
        <v>46110</v>
      </c>
      <c r="B89" s="72">
        <f t="shared" ref="B89:B95" si="35">WEEKDAY(A89,1)</f>
        <v>1</v>
      </c>
      <c r="C89" s="72" t="str">
        <f t="shared" si="25"/>
        <v>domingo</v>
      </c>
      <c r="D89" s="78" t="str">
        <f t="shared" si="24"/>
        <v/>
      </c>
      <c r="E89" s="72" t="str">
        <f t="shared" si="31"/>
        <v>Não</v>
      </c>
      <c r="F89" s="72" t="str">
        <f>IF(E89="Sim", COUNTIFS($E$2:E89, "Sim", $A$2:A89, "&gt;="&amp;DATE(YEAR(A89), MONTH(A89), 1)), "")</f>
        <v/>
      </c>
      <c r="G89" s="72">
        <f t="shared" si="32"/>
        <v>14</v>
      </c>
      <c r="H89" s="72" t="str">
        <f t="shared" si="26"/>
        <v/>
      </c>
    </row>
    <row r="90" spans="1:8" x14ac:dyDescent="0.25">
      <c r="A90" s="73">
        <f t="shared" si="34"/>
        <v>46111</v>
      </c>
      <c r="B90" s="72">
        <f t="shared" si="35"/>
        <v>2</v>
      </c>
      <c r="C90" s="72" t="str">
        <f t="shared" si="25"/>
        <v>segunda-feira</v>
      </c>
      <c r="D90" s="78" t="str">
        <f t="shared" si="24"/>
        <v/>
      </c>
      <c r="E90" s="72" t="str">
        <f t="shared" si="31"/>
        <v>Sim</v>
      </c>
      <c r="F90" s="72">
        <f>IF(E90="Sim", COUNTIFS($E$2:E90, "Sim", $A$2:A90, "&gt;="&amp;DATE(YEAR(A90), MONTH(A90), 1)), "")</f>
        <v>21</v>
      </c>
      <c r="G90" s="72">
        <f t="shared" si="32"/>
        <v>14</v>
      </c>
      <c r="H90" s="72" t="str">
        <f t="shared" si="26"/>
        <v>3|21</v>
      </c>
    </row>
    <row r="91" spans="1:8" x14ac:dyDescent="0.25">
      <c r="A91" s="73">
        <f t="shared" si="34"/>
        <v>46112</v>
      </c>
      <c r="B91" s="72">
        <f t="shared" si="35"/>
        <v>3</v>
      </c>
      <c r="C91" s="72" t="str">
        <f t="shared" si="25"/>
        <v>terça-feira</v>
      </c>
      <c r="D91" s="78" t="str">
        <f t="shared" si="24"/>
        <v/>
      </c>
      <c r="E91" s="72" t="str">
        <f t="shared" si="31"/>
        <v>Sim</v>
      </c>
      <c r="F91" s="72">
        <f>IF(E91="Sim", COUNTIFS($E$2:E91, "Sim", $A$2:A91, "&gt;="&amp;DATE(YEAR(A91), MONTH(A91), 1)), "")</f>
        <v>22</v>
      </c>
      <c r="G91" s="72">
        <f t="shared" si="32"/>
        <v>14</v>
      </c>
      <c r="H91" s="72" t="str">
        <f t="shared" si="26"/>
        <v>3|22</v>
      </c>
    </row>
    <row r="92" spans="1:8" x14ac:dyDescent="0.25">
      <c r="A92" s="73">
        <f t="shared" si="34"/>
        <v>46113</v>
      </c>
      <c r="B92" s="72">
        <f t="shared" si="35"/>
        <v>4</v>
      </c>
      <c r="C92" s="72" t="str">
        <f t="shared" si="25"/>
        <v>quarta-feira</v>
      </c>
      <c r="D92" s="78" t="str">
        <f t="shared" si="24"/>
        <v/>
      </c>
      <c r="E92" s="72" t="str">
        <f t="shared" si="31"/>
        <v>Sim</v>
      </c>
      <c r="F92" s="72">
        <f>IF(E92="Sim", COUNTIFS($E$2:E92, "Sim", $A$2:A92, "&gt;="&amp;DATE(YEAR(A92), MONTH(A92), 1)), "")</f>
        <v>1</v>
      </c>
      <c r="G92" s="72">
        <f t="shared" si="32"/>
        <v>14</v>
      </c>
      <c r="H92" s="72" t="str">
        <f t="shared" si="26"/>
        <v>4|1</v>
      </c>
    </row>
    <row r="93" spans="1:8" x14ac:dyDescent="0.25">
      <c r="A93" s="73">
        <f t="shared" si="34"/>
        <v>46114</v>
      </c>
      <c r="B93" s="72">
        <f t="shared" si="35"/>
        <v>5</v>
      </c>
      <c r="C93" s="72" t="str">
        <f t="shared" si="25"/>
        <v>quinta-feira</v>
      </c>
      <c r="D93" s="78" t="str">
        <f t="shared" si="24"/>
        <v/>
      </c>
      <c r="E93" s="72" t="str">
        <f t="shared" si="31"/>
        <v>Sim</v>
      </c>
      <c r="F93" s="72">
        <f>IF(E93="Sim", COUNTIFS($E$2:E93, "Sim", $A$2:A93, "&gt;="&amp;DATE(YEAR(A93), MONTH(A93), 1)), "")</f>
        <v>2</v>
      </c>
      <c r="G93" s="72">
        <f t="shared" si="32"/>
        <v>14</v>
      </c>
      <c r="H93" s="72" t="str">
        <f t="shared" si="26"/>
        <v>4|2</v>
      </c>
    </row>
    <row r="94" spans="1:8" x14ac:dyDescent="0.25">
      <c r="A94" s="73">
        <f t="shared" si="34"/>
        <v>46115</v>
      </c>
      <c r="B94" s="72">
        <f t="shared" si="35"/>
        <v>6</v>
      </c>
      <c r="C94" s="72" t="str">
        <f t="shared" si="25"/>
        <v>sexta-feira</v>
      </c>
      <c r="D94" s="78" t="str">
        <f t="shared" si="24"/>
        <v>Sim</v>
      </c>
      <c r="E94" s="72" t="str">
        <f t="shared" si="31"/>
        <v>Não</v>
      </c>
      <c r="F94" s="72" t="str">
        <f>IF(E94="Sim", COUNTIFS($E$2:E94, "Sim", $A$2:A94, "&gt;="&amp;DATE(YEAR(A94), MONTH(A94), 1)), "")</f>
        <v/>
      </c>
      <c r="G94" s="72">
        <f t="shared" si="32"/>
        <v>14</v>
      </c>
      <c r="H94" s="72" t="str">
        <f t="shared" si="26"/>
        <v/>
      </c>
    </row>
    <row r="95" spans="1:8" x14ac:dyDescent="0.25">
      <c r="A95" s="73">
        <f t="shared" si="34"/>
        <v>46116</v>
      </c>
      <c r="B95" s="72">
        <f t="shared" si="35"/>
        <v>7</v>
      </c>
      <c r="C95" s="72" t="str">
        <f t="shared" si="25"/>
        <v>sábado</v>
      </c>
      <c r="D95" s="78" t="str">
        <f t="shared" si="24"/>
        <v/>
      </c>
      <c r="E95" s="72" t="str">
        <f t="shared" si="31"/>
        <v>Não</v>
      </c>
      <c r="F95" s="72" t="str">
        <f>IF(E95="Sim", COUNTIFS($E$2:E95, "Sim", $A$2:A95, "&gt;="&amp;DATE(YEAR(A95), MONTH(A95), 1)), "")</f>
        <v/>
      </c>
      <c r="G95" s="72">
        <f t="shared" si="32"/>
        <v>14</v>
      </c>
      <c r="H95" s="72" t="str">
        <f t="shared" si="26"/>
        <v/>
      </c>
    </row>
    <row r="96" spans="1:8" x14ac:dyDescent="0.25">
      <c r="A96" s="79">
        <f t="shared" ref="A96:A102" si="36">A95+1</f>
        <v>46117</v>
      </c>
      <c r="B96" s="80">
        <f t="shared" ref="B96:B102" si="37">WEEKDAY(A96,1)</f>
        <v>1</v>
      </c>
      <c r="C96" s="80" t="str">
        <f t="shared" si="25"/>
        <v>domingo</v>
      </c>
      <c r="D96" s="81" t="str">
        <f t="shared" si="24"/>
        <v/>
      </c>
      <c r="E96" s="80" t="str">
        <f t="shared" si="31"/>
        <v>Não</v>
      </c>
      <c r="F96" s="80" t="str">
        <f>IF(E96="Sim", COUNTIFS($E$2:E96, "Sim", $A$2:A96, "&gt;="&amp;DATE(YEAR(A96), MONTH(A96), 1)), "")</f>
        <v/>
      </c>
      <c r="G96" s="80">
        <f t="shared" si="32"/>
        <v>15</v>
      </c>
      <c r="H96" s="80" t="str">
        <f t="shared" si="26"/>
        <v/>
      </c>
    </row>
    <row r="97" spans="1:8" x14ac:dyDescent="0.25">
      <c r="A97" s="79">
        <f t="shared" si="36"/>
        <v>46118</v>
      </c>
      <c r="B97" s="80">
        <f t="shared" si="37"/>
        <v>2</v>
      </c>
      <c r="C97" s="80" t="str">
        <f t="shared" si="25"/>
        <v>segunda-feira</v>
      </c>
      <c r="D97" s="81" t="str">
        <f t="shared" si="24"/>
        <v/>
      </c>
      <c r="E97" s="80" t="str">
        <f t="shared" si="31"/>
        <v>Sim</v>
      </c>
      <c r="F97" s="80">
        <f>IF(E97="Sim", COUNTIFS($E$2:E97, "Sim", $A$2:A97, "&gt;="&amp;DATE(YEAR(A97), MONTH(A97), 1)), "")</f>
        <v>3</v>
      </c>
      <c r="G97" s="80">
        <f t="shared" si="32"/>
        <v>15</v>
      </c>
      <c r="H97" s="80" t="str">
        <f t="shared" si="26"/>
        <v>4|3</v>
      </c>
    </row>
    <row r="98" spans="1:8" x14ac:dyDescent="0.25">
      <c r="A98" s="79">
        <f t="shared" si="36"/>
        <v>46119</v>
      </c>
      <c r="B98" s="80">
        <f t="shared" si="37"/>
        <v>3</v>
      </c>
      <c r="C98" s="80" t="str">
        <f t="shared" si="25"/>
        <v>terça-feira</v>
      </c>
      <c r="D98" s="81" t="str">
        <f t="shared" si="24"/>
        <v/>
      </c>
      <c r="E98" s="80" t="str">
        <f t="shared" si="31"/>
        <v>Sim</v>
      </c>
      <c r="F98" s="80">
        <f>IF(E98="Sim", COUNTIFS($E$2:E98, "Sim", $A$2:A98, "&gt;="&amp;DATE(YEAR(A98), MONTH(A98), 1)), "")</f>
        <v>4</v>
      </c>
      <c r="G98" s="80">
        <f t="shared" si="32"/>
        <v>15</v>
      </c>
      <c r="H98" s="80" t="str">
        <f t="shared" si="26"/>
        <v>4|4</v>
      </c>
    </row>
    <row r="99" spans="1:8" x14ac:dyDescent="0.25">
      <c r="A99" s="79">
        <f t="shared" si="36"/>
        <v>46120</v>
      </c>
      <c r="B99" s="80">
        <f t="shared" si="37"/>
        <v>4</v>
      </c>
      <c r="C99" s="80" t="str">
        <f t="shared" si="25"/>
        <v>quarta-feira</v>
      </c>
      <c r="D99" s="81" t="str">
        <f t="shared" si="24"/>
        <v/>
      </c>
      <c r="E99" s="80" t="str">
        <f t="shared" si="31"/>
        <v>Sim</v>
      </c>
      <c r="F99" s="80">
        <f>IF(E99="Sim", COUNTIFS($E$2:E99, "Sim", $A$2:A99, "&gt;="&amp;DATE(YEAR(A99), MONTH(A99), 1)), "")</f>
        <v>5</v>
      </c>
      <c r="G99" s="80">
        <f t="shared" si="32"/>
        <v>15</v>
      </c>
      <c r="H99" s="80" t="str">
        <f t="shared" si="26"/>
        <v>4|5</v>
      </c>
    </row>
    <row r="100" spans="1:8" x14ac:dyDescent="0.25">
      <c r="A100" s="79">
        <f t="shared" si="36"/>
        <v>46121</v>
      </c>
      <c r="B100" s="80">
        <f t="shared" si="37"/>
        <v>5</v>
      </c>
      <c r="C100" s="80" t="str">
        <f t="shared" si="25"/>
        <v>quinta-feira</v>
      </c>
      <c r="D100" s="81" t="str">
        <f t="shared" si="24"/>
        <v/>
      </c>
      <c r="E100" s="80" t="str">
        <f t="shared" si="31"/>
        <v>Sim</v>
      </c>
      <c r="F100" s="80">
        <f>IF(E100="Sim", COUNTIFS($E$2:E100, "Sim", $A$2:A100, "&gt;="&amp;DATE(YEAR(A100), MONTH(A100), 1)), "")</f>
        <v>6</v>
      </c>
      <c r="G100" s="80">
        <f t="shared" si="32"/>
        <v>15</v>
      </c>
      <c r="H100" s="80" t="str">
        <f t="shared" si="26"/>
        <v>4|6</v>
      </c>
    </row>
    <row r="101" spans="1:8" x14ac:dyDescent="0.25">
      <c r="A101" s="79">
        <f t="shared" si="36"/>
        <v>46122</v>
      </c>
      <c r="B101" s="80">
        <f t="shared" si="37"/>
        <v>6</v>
      </c>
      <c r="C101" s="80" t="str">
        <f t="shared" si="25"/>
        <v>sexta-feira</v>
      </c>
      <c r="D101" s="81" t="str">
        <f t="shared" si="24"/>
        <v/>
      </c>
      <c r="E101" s="80" t="str">
        <f t="shared" si="31"/>
        <v>Sim</v>
      </c>
      <c r="F101" s="80">
        <f>IF(E101="Sim", COUNTIFS($E$2:E101, "Sim", $A$2:A101, "&gt;="&amp;DATE(YEAR(A101), MONTH(A101), 1)), "")</f>
        <v>7</v>
      </c>
      <c r="G101" s="80">
        <f t="shared" si="32"/>
        <v>15</v>
      </c>
      <c r="H101" s="80" t="str">
        <f t="shared" si="26"/>
        <v>4|7</v>
      </c>
    </row>
    <row r="102" spans="1:8" x14ac:dyDescent="0.25">
      <c r="A102" s="79">
        <f t="shared" si="36"/>
        <v>46123</v>
      </c>
      <c r="B102" s="80">
        <f t="shared" si="37"/>
        <v>7</v>
      </c>
      <c r="C102" s="80" t="str">
        <f t="shared" si="25"/>
        <v>sábado</v>
      </c>
      <c r="D102" s="81" t="str">
        <f t="shared" si="24"/>
        <v/>
      </c>
      <c r="E102" s="80" t="str">
        <f t="shared" si="31"/>
        <v>Não</v>
      </c>
      <c r="F102" s="80" t="str">
        <f>IF(E102="Sim", COUNTIFS($E$2:E102, "Sim", $A$2:A102, "&gt;="&amp;DATE(YEAR(A102), MONTH(A102), 1)), "")</f>
        <v/>
      </c>
      <c r="G102" s="80">
        <f t="shared" si="32"/>
        <v>15</v>
      </c>
      <c r="H102" s="80" t="str">
        <f t="shared" si="26"/>
        <v/>
      </c>
    </row>
    <row r="103" spans="1:8" x14ac:dyDescent="0.25">
      <c r="A103" s="73">
        <f t="shared" ref="A103:A109" si="38">A102+1</f>
        <v>46124</v>
      </c>
      <c r="B103" s="72">
        <f t="shared" ref="B103:B109" si="39">WEEKDAY(A103,1)</f>
        <v>1</v>
      </c>
      <c r="C103" s="72" t="str">
        <f t="shared" si="25"/>
        <v>domingo</v>
      </c>
      <c r="D103" s="78" t="str">
        <f t="shared" si="24"/>
        <v/>
      </c>
      <c r="E103" s="72" t="str">
        <f t="shared" si="31"/>
        <v>Não</v>
      </c>
      <c r="F103" s="72" t="str">
        <f>IF(E103="Sim", COUNTIFS($E$2:E103, "Sim", $A$2:A103, "&gt;="&amp;DATE(YEAR(A103), MONTH(A103), 1)), "")</f>
        <v/>
      </c>
      <c r="G103" s="72">
        <f t="shared" si="32"/>
        <v>16</v>
      </c>
      <c r="H103" s="72" t="str">
        <f t="shared" si="26"/>
        <v/>
      </c>
    </row>
    <row r="104" spans="1:8" x14ac:dyDescent="0.25">
      <c r="A104" s="73">
        <f t="shared" si="38"/>
        <v>46125</v>
      </c>
      <c r="B104" s="72">
        <f t="shared" si="39"/>
        <v>2</v>
      </c>
      <c r="C104" s="72" t="str">
        <f t="shared" si="25"/>
        <v>segunda-feira</v>
      </c>
      <c r="D104" s="78" t="str">
        <f t="shared" si="24"/>
        <v/>
      </c>
      <c r="E104" s="72" t="str">
        <f t="shared" si="31"/>
        <v>Sim</v>
      </c>
      <c r="F104" s="72">
        <f>IF(E104="Sim", COUNTIFS($E$2:E104, "Sim", $A$2:A104, "&gt;="&amp;DATE(YEAR(A104), MONTH(A104), 1)), "")</f>
        <v>8</v>
      </c>
      <c r="G104" s="72">
        <f t="shared" si="32"/>
        <v>16</v>
      </c>
      <c r="H104" s="72" t="str">
        <f t="shared" si="26"/>
        <v>4|8</v>
      </c>
    </row>
    <row r="105" spans="1:8" x14ac:dyDescent="0.25">
      <c r="A105" s="73">
        <f t="shared" si="38"/>
        <v>46126</v>
      </c>
      <c r="B105" s="72">
        <f t="shared" si="39"/>
        <v>3</v>
      </c>
      <c r="C105" s="72" t="str">
        <f t="shared" si="25"/>
        <v>terça-feira</v>
      </c>
      <c r="D105" s="78" t="str">
        <f t="shared" si="24"/>
        <v/>
      </c>
      <c r="E105" s="72" t="str">
        <f t="shared" si="31"/>
        <v>Sim</v>
      </c>
      <c r="F105" s="72">
        <f>IF(E105="Sim", COUNTIFS($E$2:E105, "Sim", $A$2:A105, "&gt;="&amp;DATE(YEAR(A105), MONTH(A105), 1)), "")</f>
        <v>9</v>
      </c>
      <c r="G105" s="72">
        <f t="shared" si="32"/>
        <v>16</v>
      </c>
      <c r="H105" s="72" t="str">
        <f t="shared" si="26"/>
        <v>4|9</v>
      </c>
    </row>
    <row r="106" spans="1:8" x14ac:dyDescent="0.25">
      <c r="A106" s="73">
        <f t="shared" si="38"/>
        <v>46127</v>
      </c>
      <c r="B106" s="72">
        <f t="shared" si="39"/>
        <v>4</v>
      </c>
      <c r="C106" s="72" t="str">
        <f t="shared" si="25"/>
        <v>quarta-feira</v>
      </c>
      <c r="D106" s="78" t="str">
        <f t="shared" si="24"/>
        <v/>
      </c>
      <c r="E106" s="72" t="str">
        <f t="shared" si="31"/>
        <v>Sim</v>
      </c>
      <c r="F106" s="72">
        <f>IF(E106="Sim", COUNTIFS($E$2:E106, "Sim", $A$2:A106, "&gt;="&amp;DATE(YEAR(A106), MONTH(A106), 1)), "")</f>
        <v>10</v>
      </c>
      <c r="G106" s="72">
        <f t="shared" si="32"/>
        <v>16</v>
      </c>
      <c r="H106" s="72" t="str">
        <f t="shared" si="26"/>
        <v>4|10</v>
      </c>
    </row>
    <row r="107" spans="1:8" x14ac:dyDescent="0.25">
      <c r="A107" s="73">
        <f t="shared" si="38"/>
        <v>46128</v>
      </c>
      <c r="B107" s="72">
        <f t="shared" si="39"/>
        <v>5</v>
      </c>
      <c r="C107" s="72" t="str">
        <f t="shared" si="25"/>
        <v>quinta-feira</v>
      </c>
      <c r="D107" s="78" t="str">
        <f t="shared" si="24"/>
        <v/>
      </c>
      <c r="E107" s="72" t="str">
        <f t="shared" si="31"/>
        <v>Sim</v>
      </c>
      <c r="F107" s="72">
        <f>IF(E107="Sim", COUNTIFS($E$2:E107, "Sim", $A$2:A107, "&gt;="&amp;DATE(YEAR(A107), MONTH(A107), 1)), "")</f>
        <v>11</v>
      </c>
      <c r="G107" s="72">
        <f t="shared" si="32"/>
        <v>16</v>
      </c>
      <c r="H107" s="72" t="str">
        <f t="shared" si="26"/>
        <v>4|11</v>
      </c>
    </row>
    <row r="108" spans="1:8" x14ac:dyDescent="0.25">
      <c r="A108" s="73">
        <f t="shared" si="38"/>
        <v>46129</v>
      </c>
      <c r="B108" s="72">
        <f t="shared" si="39"/>
        <v>6</v>
      </c>
      <c r="C108" s="72" t="str">
        <f t="shared" si="25"/>
        <v>sexta-feira</v>
      </c>
      <c r="D108" s="78" t="str">
        <f t="shared" si="24"/>
        <v/>
      </c>
      <c r="E108" s="72" t="str">
        <f t="shared" si="31"/>
        <v>Sim</v>
      </c>
      <c r="F108" s="72">
        <f>IF(E108="Sim", COUNTIFS($E$2:E108, "Sim", $A$2:A108, "&gt;="&amp;DATE(YEAR(A108), MONTH(A108), 1)), "")</f>
        <v>12</v>
      </c>
      <c r="G108" s="72">
        <f t="shared" si="32"/>
        <v>16</v>
      </c>
      <c r="H108" s="72" t="str">
        <f t="shared" si="26"/>
        <v>4|12</v>
      </c>
    </row>
    <row r="109" spans="1:8" x14ac:dyDescent="0.25">
      <c r="A109" s="73">
        <f t="shared" si="38"/>
        <v>46130</v>
      </c>
      <c r="B109" s="72">
        <f t="shared" si="39"/>
        <v>7</v>
      </c>
      <c r="C109" s="72" t="str">
        <f t="shared" si="25"/>
        <v>sábado</v>
      </c>
      <c r="D109" s="78" t="str">
        <f t="shared" si="24"/>
        <v/>
      </c>
      <c r="E109" s="72" t="str">
        <f t="shared" si="31"/>
        <v>Não</v>
      </c>
      <c r="F109" s="72" t="str">
        <f>IF(E109="Sim", COUNTIFS($E$2:E109, "Sim", $A$2:A109, "&gt;="&amp;DATE(YEAR(A109), MONTH(A109), 1)), "")</f>
        <v/>
      </c>
      <c r="G109" s="72">
        <f t="shared" si="32"/>
        <v>16</v>
      </c>
      <c r="H109" s="72" t="str">
        <f t="shared" si="26"/>
        <v/>
      </c>
    </row>
    <row r="110" spans="1:8" x14ac:dyDescent="0.25">
      <c r="A110" s="79">
        <f t="shared" ref="A110:A116" si="40">A109+1</f>
        <v>46131</v>
      </c>
      <c r="B110" s="80">
        <f t="shared" ref="B110:B116" si="41">WEEKDAY(A110,1)</f>
        <v>1</v>
      </c>
      <c r="C110" s="80" t="str">
        <f t="shared" si="25"/>
        <v>domingo</v>
      </c>
      <c r="D110" s="81" t="str">
        <f t="shared" si="24"/>
        <v/>
      </c>
      <c r="E110" s="80" t="str">
        <f t="shared" si="31"/>
        <v>Não</v>
      </c>
      <c r="F110" s="80" t="str">
        <f>IF(E110="Sim", COUNTIFS($E$2:E110, "Sim", $A$2:A110, "&gt;="&amp;DATE(YEAR(A110), MONTH(A110), 1)), "")</f>
        <v/>
      </c>
      <c r="G110" s="80">
        <f t="shared" si="32"/>
        <v>17</v>
      </c>
      <c r="H110" s="80" t="str">
        <f t="shared" si="26"/>
        <v/>
      </c>
    </row>
    <row r="111" spans="1:8" x14ac:dyDescent="0.25">
      <c r="A111" s="79">
        <f t="shared" si="40"/>
        <v>46132</v>
      </c>
      <c r="B111" s="80">
        <f t="shared" si="41"/>
        <v>2</v>
      </c>
      <c r="C111" s="80" t="str">
        <f t="shared" si="25"/>
        <v>segunda-feira</v>
      </c>
      <c r="D111" s="81" t="str">
        <f t="shared" si="24"/>
        <v/>
      </c>
      <c r="E111" s="80" t="str">
        <f t="shared" si="31"/>
        <v>Sim</v>
      </c>
      <c r="F111" s="80">
        <f>IF(E111="Sim", COUNTIFS($E$2:E111, "Sim", $A$2:A111, "&gt;="&amp;DATE(YEAR(A111), MONTH(A111), 1)), "")</f>
        <v>13</v>
      </c>
      <c r="G111" s="80">
        <f t="shared" si="32"/>
        <v>17</v>
      </c>
      <c r="H111" s="80" t="str">
        <f t="shared" si="26"/>
        <v>4|13</v>
      </c>
    </row>
    <row r="112" spans="1:8" x14ac:dyDescent="0.25">
      <c r="A112" s="79">
        <f t="shared" si="40"/>
        <v>46133</v>
      </c>
      <c r="B112" s="80">
        <f t="shared" si="41"/>
        <v>3</v>
      </c>
      <c r="C112" s="80" t="str">
        <f t="shared" si="25"/>
        <v>terça-feira</v>
      </c>
      <c r="D112" s="81" t="str">
        <f t="shared" si="24"/>
        <v>Sim</v>
      </c>
      <c r="E112" s="80" t="str">
        <f t="shared" si="31"/>
        <v>Não</v>
      </c>
      <c r="F112" s="80" t="str">
        <f>IF(E112="Sim", COUNTIFS($E$2:E112, "Sim", $A$2:A112, "&gt;="&amp;DATE(YEAR(A112), MONTH(A112), 1)), "")</f>
        <v/>
      </c>
      <c r="G112" s="80">
        <f t="shared" si="32"/>
        <v>17</v>
      </c>
      <c r="H112" s="80" t="str">
        <f t="shared" si="26"/>
        <v/>
      </c>
    </row>
    <row r="113" spans="1:8" x14ac:dyDescent="0.25">
      <c r="A113" s="79">
        <f t="shared" si="40"/>
        <v>46134</v>
      </c>
      <c r="B113" s="80">
        <f t="shared" si="41"/>
        <v>4</v>
      </c>
      <c r="C113" s="80" t="str">
        <f t="shared" si="25"/>
        <v>quarta-feira</v>
      </c>
      <c r="D113" s="81" t="str">
        <f t="shared" si="24"/>
        <v/>
      </c>
      <c r="E113" s="80" t="str">
        <f t="shared" si="31"/>
        <v>Sim</v>
      </c>
      <c r="F113" s="80">
        <f>IF(E113="Sim", COUNTIFS($E$2:E113, "Sim", $A$2:A113, "&gt;="&amp;DATE(YEAR(A113), MONTH(A113), 1)), "")</f>
        <v>14</v>
      </c>
      <c r="G113" s="80">
        <f t="shared" si="32"/>
        <v>17</v>
      </c>
      <c r="H113" s="80" t="str">
        <f t="shared" si="26"/>
        <v>4|14</v>
      </c>
    </row>
    <row r="114" spans="1:8" x14ac:dyDescent="0.25">
      <c r="A114" s="79">
        <f t="shared" si="40"/>
        <v>46135</v>
      </c>
      <c r="B114" s="80">
        <f t="shared" si="41"/>
        <v>5</v>
      </c>
      <c r="C114" s="80" t="str">
        <f t="shared" si="25"/>
        <v>quinta-feira</v>
      </c>
      <c r="D114" s="81" t="str">
        <f t="shared" si="24"/>
        <v/>
      </c>
      <c r="E114" s="80" t="str">
        <f t="shared" si="31"/>
        <v>Sim</v>
      </c>
      <c r="F114" s="80">
        <f>IF(E114="Sim", COUNTIFS($E$2:E114, "Sim", $A$2:A114, "&gt;="&amp;DATE(YEAR(A114), MONTH(A114), 1)), "")</f>
        <v>15</v>
      </c>
      <c r="G114" s="80">
        <f t="shared" si="32"/>
        <v>17</v>
      </c>
      <c r="H114" s="80" t="str">
        <f t="shared" si="26"/>
        <v>4|15</v>
      </c>
    </row>
    <row r="115" spans="1:8" x14ac:dyDescent="0.25">
      <c r="A115" s="79">
        <f t="shared" si="40"/>
        <v>46136</v>
      </c>
      <c r="B115" s="80">
        <f t="shared" si="41"/>
        <v>6</v>
      </c>
      <c r="C115" s="80" t="str">
        <f t="shared" si="25"/>
        <v>sexta-feira</v>
      </c>
      <c r="D115" s="81" t="str">
        <f t="shared" si="24"/>
        <v/>
      </c>
      <c r="E115" s="80" t="str">
        <f t="shared" si="31"/>
        <v>Sim</v>
      </c>
      <c r="F115" s="80">
        <f>IF(E115="Sim", COUNTIFS($E$2:E115, "Sim", $A$2:A115, "&gt;="&amp;DATE(YEAR(A115), MONTH(A115), 1)), "")</f>
        <v>16</v>
      </c>
      <c r="G115" s="80">
        <f t="shared" si="32"/>
        <v>17</v>
      </c>
      <c r="H115" s="80" t="str">
        <f t="shared" si="26"/>
        <v>4|16</v>
      </c>
    </row>
    <row r="116" spans="1:8" x14ac:dyDescent="0.25">
      <c r="A116" s="79">
        <f t="shared" si="40"/>
        <v>46137</v>
      </c>
      <c r="B116" s="80">
        <f t="shared" si="41"/>
        <v>7</v>
      </c>
      <c r="C116" s="80" t="str">
        <f t="shared" si="25"/>
        <v>sábado</v>
      </c>
      <c r="D116" s="81" t="str">
        <f t="shared" si="24"/>
        <v/>
      </c>
      <c r="E116" s="80" t="str">
        <f t="shared" si="31"/>
        <v>Não</v>
      </c>
      <c r="F116" s="80" t="str">
        <f>IF(E116="Sim", COUNTIFS($E$2:E116, "Sim", $A$2:A116, "&gt;="&amp;DATE(YEAR(A116), MONTH(A116), 1)), "")</f>
        <v/>
      </c>
      <c r="G116" s="80">
        <f t="shared" si="32"/>
        <v>17</v>
      </c>
      <c r="H116" s="80" t="str">
        <f t="shared" si="26"/>
        <v/>
      </c>
    </row>
    <row r="117" spans="1:8" x14ac:dyDescent="0.25">
      <c r="A117" s="73">
        <f t="shared" ref="A117:A123" si="42">A116+1</f>
        <v>46138</v>
      </c>
      <c r="B117" s="72">
        <f t="shared" ref="B117:B123" si="43">WEEKDAY(A117,1)</f>
        <v>1</v>
      </c>
      <c r="C117" s="72" t="str">
        <f t="shared" si="25"/>
        <v>domingo</v>
      </c>
      <c r="D117" s="78" t="str">
        <f t="shared" si="24"/>
        <v/>
      </c>
      <c r="E117" s="72" t="str">
        <f t="shared" si="31"/>
        <v>Não</v>
      </c>
      <c r="F117" s="72" t="str">
        <f>IF(E117="Sim", COUNTIFS($E$2:E117, "Sim", $A$2:A117, "&gt;="&amp;DATE(YEAR(A117), MONTH(A117), 1)), "")</f>
        <v/>
      </c>
      <c r="G117" s="72">
        <f t="shared" si="32"/>
        <v>18</v>
      </c>
      <c r="H117" s="72" t="str">
        <f t="shared" si="26"/>
        <v/>
      </c>
    </row>
    <row r="118" spans="1:8" x14ac:dyDescent="0.25">
      <c r="A118" s="73">
        <f t="shared" si="42"/>
        <v>46139</v>
      </c>
      <c r="B118" s="72">
        <f t="shared" si="43"/>
        <v>2</v>
      </c>
      <c r="C118" s="72" t="str">
        <f t="shared" si="25"/>
        <v>segunda-feira</v>
      </c>
      <c r="D118" s="78" t="str">
        <f t="shared" si="24"/>
        <v/>
      </c>
      <c r="E118" s="72" t="str">
        <f t="shared" si="31"/>
        <v>Sim</v>
      </c>
      <c r="F118" s="72">
        <f>IF(E118="Sim", COUNTIFS($E$2:E118, "Sim", $A$2:A118, "&gt;="&amp;DATE(YEAR(A118), MONTH(A118), 1)), "")</f>
        <v>17</v>
      </c>
      <c r="G118" s="72">
        <f t="shared" si="32"/>
        <v>18</v>
      </c>
      <c r="H118" s="72" t="str">
        <f t="shared" si="26"/>
        <v>4|17</v>
      </c>
    </row>
    <row r="119" spans="1:8" x14ac:dyDescent="0.25">
      <c r="A119" s="73">
        <f t="shared" si="42"/>
        <v>46140</v>
      </c>
      <c r="B119" s="72">
        <f t="shared" si="43"/>
        <v>3</v>
      </c>
      <c r="C119" s="72" t="str">
        <f t="shared" si="25"/>
        <v>terça-feira</v>
      </c>
      <c r="D119" s="78" t="str">
        <f t="shared" si="24"/>
        <v/>
      </c>
      <c r="E119" s="72" t="str">
        <f t="shared" si="31"/>
        <v>Sim</v>
      </c>
      <c r="F119" s="72">
        <f>IF(E119="Sim", COUNTIFS($E$2:E119, "Sim", $A$2:A119, "&gt;="&amp;DATE(YEAR(A119), MONTH(A119), 1)), "")</f>
        <v>18</v>
      </c>
      <c r="G119" s="72">
        <f t="shared" si="32"/>
        <v>18</v>
      </c>
      <c r="H119" s="72" t="str">
        <f t="shared" si="26"/>
        <v>4|18</v>
      </c>
    </row>
    <row r="120" spans="1:8" x14ac:dyDescent="0.25">
      <c r="A120" s="73">
        <f t="shared" si="42"/>
        <v>46141</v>
      </c>
      <c r="B120" s="72">
        <f t="shared" si="43"/>
        <v>4</v>
      </c>
      <c r="C120" s="72" t="str">
        <f t="shared" si="25"/>
        <v>quarta-feira</v>
      </c>
      <c r="D120" s="78" t="str">
        <f t="shared" si="24"/>
        <v/>
      </c>
      <c r="E120" s="72" t="str">
        <f t="shared" si="31"/>
        <v>Sim</v>
      </c>
      <c r="F120" s="72">
        <f>IF(E120="Sim", COUNTIFS($E$2:E120, "Sim", $A$2:A120, "&gt;="&amp;DATE(YEAR(A120), MONTH(A120), 1)), "")</f>
        <v>19</v>
      </c>
      <c r="G120" s="72">
        <f t="shared" si="32"/>
        <v>18</v>
      </c>
      <c r="H120" s="72" t="str">
        <f t="shared" si="26"/>
        <v>4|19</v>
      </c>
    </row>
    <row r="121" spans="1:8" x14ac:dyDescent="0.25">
      <c r="A121" s="73">
        <f t="shared" si="42"/>
        <v>46142</v>
      </c>
      <c r="B121" s="72">
        <f t="shared" si="43"/>
        <v>5</v>
      </c>
      <c r="C121" s="72" t="str">
        <f t="shared" si="25"/>
        <v>quinta-feira</v>
      </c>
      <c r="D121" s="78" t="str">
        <f t="shared" si="24"/>
        <v/>
      </c>
      <c r="E121" s="72" t="str">
        <f t="shared" si="31"/>
        <v>Sim</v>
      </c>
      <c r="F121" s="72">
        <f>IF(E121="Sim", COUNTIFS($E$2:E121, "Sim", $A$2:A121, "&gt;="&amp;DATE(YEAR(A121), MONTH(A121), 1)), "")</f>
        <v>20</v>
      </c>
      <c r="G121" s="72">
        <f t="shared" si="32"/>
        <v>18</v>
      </c>
      <c r="H121" s="72" t="str">
        <f t="shared" si="26"/>
        <v>4|20</v>
      </c>
    </row>
    <row r="122" spans="1:8" x14ac:dyDescent="0.25">
      <c r="A122" s="73">
        <f t="shared" si="42"/>
        <v>46143</v>
      </c>
      <c r="B122" s="72">
        <f t="shared" si="43"/>
        <v>6</v>
      </c>
      <c r="C122" s="72" t="str">
        <f t="shared" si="25"/>
        <v>sexta-feira</v>
      </c>
      <c r="D122" s="78" t="str">
        <f t="shared" si="24"/>
        <v>Sim</v>
      </c>
      <c r="E122" s="72" t="str">
        <f t="shared" si="31"/>
        <v>Não</v>
      </c>
      <c r="F122" s="72" t="str">
        <f>IF(E122="Sim", COUNTIFS($E$2:E122, "Sim", $A$2:A122, "&gt;="&amp;DATE(YEAR(A122), MONTH(A122), 1)), "")</f>
        <v/>
      </c>
      <c r="G122" s="72">
        <f t="shared" si="32"/>
        <v>18</v>
      </c>
      <c r="H122" s="72" t="str">
        <f t="shared" si="26"/>
        <v/>
      </c>
    </row>
    <row r="123" spans="1:8" x14ac:dyDescent="0.25">
      <c r="A123" s="73">
        <f t="shared" si="42"/>
        <v>46144</v>
      </c>
      <c r="B123" s="72">
        <f t="shared" si="43"/>
        <v>7</v>
      </c>
      <c r="C123" s="72" t="str">
        <f t="shared" si="25"/>
        <v>sábado</v>
      </c>
      <c r="D123" s="78" t="str">
        <f t="shared" si="24"/>
        <v/>
      </c>
      <c r="E123" s="72" t="str">
        <f t="shared" si="31"/>
        <v>Não</v>
      </c>
      <c r="F123" s="72" t="str">
        <f>IF(E123="Sim", COUNTIFS($E$2:E123, "Sim", $A$2:A123, "&gt;="&amp;DATE(YEAR(A123), MONTH(A123), 1)), "")</f>
        <v/>
      </c>
      <c r="G123" s="72">
        <f t="shared" si="32"/>
        <v>18</v>
      </c>
      <c r="H123" s="72" t="str">
        <f t="shared" si="26"/>
        <v/>
      </c>
    </row>
    <row r="124" spans="1:8" x14ac:dyDescent="0.25">
      <c r="A124" s="79">
        <f t="shared" ref="A124:A130" si="44">A123+1</f>
        <v>46145</v>
      </c>
      <c r="B124" s="80">
        <f t="shared" ref="B124:B144" si="45">WEEKDAY(A124,1)</f>
        <v>1</v>
      </c>
      <c r="C124" s="80" t="str">
        <f t="shared" si="25"/>
        <v>domingo</v>
      </c>
      <c r="D124" s="81" t="str">
        <f t="shared" si="24"/>
        <v/>
      </c>
      <c r="E124" s="80" t="str">
        <f t="shared" si="31"/>
        <v>Não</v>
      </c>
      <c r="F124" s="80" t="str">
        <f>IF(E124="Sim", COUNTIFS($E$2:E124, "Sim", $A$2:A124, "&gt;="&amp;DATE(YEAR(A124), MONTH(A124), 1)), "")</f>
        <v/>
      </c>
      <c r="G124" s="80">
        <f t="shared" si="32"/>
        <v>19</v>
      </c>
      <c r="H124" s="80" t="str">
        <f t="shared" si="26"/>
        <v/>
      </c>
    </row>
    <row r="125" spans="1:8" x14ac:dyDescent="0.25">
      <c r="A125" s="79">
        <f t="shared" si="44"/>
        <v>46146</v>
      </c>
      <c r="B125" s="80">
        <f t="shared" si="45"/>
        <v>2</v>
      </c>
      <c r="C125" s="80" t="str">
        <f t="shared" si="25"/>
        <v>segunda-feira</v>
      </c>
      <c r="D125" s="81" t="str">
        <f t="shared" si="24"/>
        <v/>
      </c>
      <c r="E125" s="80" t="str">
        <f t="shared" si="31"/>
        <v>Sim</v>
      </c>
      <c r="F125" s="80">
        <f>IF(E125="Sim", COUNTIFS($E$2:E125, "Sim", $A$2:A125, "&gt;="&amp;DATE(YEAR(A125), MONTH(A125), 1)), "")</f>
        <v>1</v>
      </c>
      <c r="G125" s="80">
        <f t="shared" si="32"/>
        <v>19</v>
      </c>
      <c r="H125" s="80" t="str">
        <f t="shared" si="26"/>
        <v>5|1</v>
      </c>
    </row>
    <row r="126" spans="1:8" x14ac:dyDescent="0.25">
      <c r="A126" s="79">
        <f t="shared" si="44"/>
        <v>46147</v>
      </c>
      <c r="B126" s="80">
        <f t="shared" si="45"/>
        <v>3</v>
      </c>
      <c r="C126" s="80" t="str">
        <f t="shared" si="25"/>
        <v>terça-feira</v>
      </c>
      <c r="D126" s="81" t="str">
        <f t="shared" si="24"/>
        <v/>
      </c>
      <c r="E126" s="80" t="str">
        <f t="shared" si="31"/>
        <v>Sim</v>
      </c>
      <c r="F126" s="80">
        <f>IF(E126="Sim", COUNTIFS($E$2:E126, "Sim", $A$2:A126, "&gt;="&amp;DATE(YEAR(A126), MONTH(A126), 1)), "")</f>
        <v>2</v>
      </c>
      <c r="G126" s="80">
        <f t="shared" si="32"/>
        <v>19</v>
      </c>
      <c r="H126" s="80" t="str">
        <f t="shared" si="26"/>
        <v>5|2</v>
      </c>
    </row>
    <row r="127" spans="1:8" x14ac:dyDescent="0.25">
      <c r="A127" s="79">
        <f t="shared" si="44"/>
        <v>46148</v>
      </c>
      <c r="B127" s="80">
        <f t="shared" si="45"/>
        <v>4</v>
      </c>
      <c r="C127" s="80" t="str">
        <f t="shared" si="25"/>
        <v>quarta-feira</v>
      </c>
      <c r="D127" s="81" t="str">
        <f t="shared" si="24"/>
        <v/>
      </c>
      <c r="E127" s="80" t="str">
        <f t="shared" si="31"/>
        <v>Sim</v>
      </c>
      <c r="F127" s="80">
        <f>IF(E127="Sim", COUNTIFS($E$2:E127, "Sim", $A$2:A127, "&gt;="&amp;DATE(YEAR(A127), MONTH(A127), 1)), "")</f>
        <v>3</v>
      </c>
      <c r="G127" s="80">
        <f t="shared" si="32"/>
        <v>19</v>
      </c>
      <c r="H127" s="80" t="str">
        <f t="shared" si="26"/>
        <v>5|3</v>
      </c>
    </row>
    <row r="128" spans="1:8" x14ac:dyDescent="0.25">
      <c r="A128" s="79">
        <f t="shared" si="44"/>
        <v>46149</v>
      </c>
      <c r="B128" s="80">
        <f t="shared" si="45"/>
        <v>5</v>
      </c>
      <c r="C128" s="80" t="str">
        <f t="shared" si="25"/>
        <v>quinta-feira</v>
      </c>
      <c r="D128" s="81" t="str">
        <f t="shared" si="24"/>
        <v/>
      </c>
      <c r="E128" s="80" t="str">
        <f t="shared" si="31"/>
        <v>Sim</v>
      </c>
      <c r="F128" s="80">
        <f>IF(E128="Sim", COUNTIFS($E$2:E128, "Sim", $A$2:A128, "&gt;="&amp;DATE(YEAR(A128), MONTH(A128), 1)), "")</f>
        <v>4</v>
      </c>
      <c r="G128" s="80">
        <f t="shared" si="32"/>
        <v>19</v>
      </c>
      <c r="H128" s="80" t="str">
        <f t="shared" si="26"/>
        <v>5|4</v>
      </c>
    </row>
    <row r="129" spans="1:8" x14ac:dyDescent="0.25">
      <c r="A129" s="79">
        <f t="shared" si="44"/>
        <v>46150</v>
      </c>
      <c r="B129" s="80">
        <f t="shared" si="45"/>
        <v>6</v>
      </c>
      <c r="C129" s="80" t="str">
        <f t="shared" si="25"/>
        <v>sexta-feira</v>
      </c>
      <c r="D129" s="81" t="str">
        <f t="shared" si="24"/>
        <v/>
      </c>
      <c r="E129" s="80" t="str">
        <f t="shared" si="31"/>
        <v>Sim</v>
      </c>
      <c r="F129" s="80">
        <f>IF(E129="Sim", COUNTIFS($E$2:E129, "Sim", $A$2:A129, "&gt;="&amp;DATE(YEAR(A129), MONTH(A129), 1)), "")</f>
        <v>5</v>
      </c>
      <c r="G129" s="80">
        <f t="shared" si="32"/>
        <v>19</v>
      </c>
      <c r="H129" s="80" t="str">
        <f t="shared" si="26"/>
        <v>5|5</v>
      </c>
    </row>
    <row r="130" spans="1:8" x14ac:dyDescent="0.25">
      <c r="A130" s="79">
        <f t="shared" si="44"/>
        <v>46151</v>
      </c>
      <c r="B130" s="80">
        <f t="shared" si="45"/>
        <v>7</v>
      </c>
      <c r="C130" s="80" t="str">
        <f t="shared" si="25"/>
        <v>sábado</v>
      </c>
      <c r="D130" s="81" t="str">
        <f t="shared" ref="D130:D193" si="46">IF(_xlfn.XLOOKUP(A130,J:J,J:J,0,0)=A130,"Sim","")</f>
        <v/>
      </c>
      <c r="E130" s="80" t="str">
        <f t="shared" si="31"/>
        <v>Não</v>
      </c>
      <c r="F130" s="80" t="str">
        <f>IF(E130="Sim", COUNTIFS($E$2:E130, "Sim", $A$2:A130, "&gt;="&amp;DATE(YEAR(A130), MONTH(A130), 1)), "")</f>
        <v/>
      </c>
      <c r="G130" s="80">
        <f t="shared" si="32"/>
        <v>19</v>
      </c>
      <c r="H130" s="80" t="str">
        <f t="shared" si="26"/>
        <v/>
      </c>
    </row>
    <row r="131" spans="1:8" x14ac:dyDescent="0.25">
      <c r="A131" s="73">
        <f t="shared" ref="A131:A137" si="47">A130+1</f>
        <v>46152</v>
      </c>
      <c r="B131" s="72">
        <f t="shared" ref="B131:B137" si="48">WEEKDAY(A131,1)</f>
        <v>1</v>
      </c>
      <c r="C131" s="72" t="str">
        <f t="shared" ref="C131:C194" si="49">TEXT(B131,"ddddd")</f>
        <v>domingo</v>
      </c>
      <c r="D131" s="78" t="str">
        <f t="shared" si="46"/>
        <v/>
      </c>
      <c r="E131" s="72" t="str">
        <f t="shared" si="31"/>
        <v>Não</v>
      </c>
      <c r="F131" s="72" t="str">
        <f>IF(E131="Sim", COUNTIFS($E$2:E131, "Sim", $A$2:A131, "&gt;="&amp;DATE(YEAR(A131), MONTH(A131), 1)), "")</f>
        <v/>
      </c>
      <c r="G131" s="72">
        <f t="shared" si="32"/>
        <v>20</v>
      </c>
      <c r="H131" s="72" t="str">
        <f t="shared" ref="H131:H194" si="50">IF(F131="","",MONTH(A131)&amp;"|"&amp;F131)</f>
        <v/>
      </c>
    </row>
    <row r="132" spans="1:8" x14ac:dyDescent="0.25">
      <c r="A132" s="73">
        <f t="shared" si="47"/>
        <v>46153</v>
      </c>
      <c r="B132" s="72">
        <f t="shared" si="48"/>
        <v>2</v>
      </c>
      <c r="C132" s="72" t="str">
        <f t="shared" si="49"/>
        <v>segunda-feira</v>
      </c>
      <c r="D132" s="78" t="str">
        <f t="shared" si="46"/>
        <v/>
      </c>
      <c r="E132" s="72" t="str">
        <f t="shared" si="31"/>
        <v>Sim</v>
      </c>
      <c r="F132" s="72">
        <f>IF(E132="Sim", COUNTIFS($E$2:E132, "Sim", $A$2:A132, "&gt;="&amp;DATE(YEAR(A132), MONTH(A132), 1)), "")</f>
        <v>6</v>
      </c>
      <c r="G132" s="72">
        <f t="shared" si="32"/>
        <v>20</v>
      </c>
      <c r="H132" s="72" t="str">
        <f t="shared" si="50"/>
        <v>5|6</v>
      </c>
    </row>
    <row r="133" spans="1:8" x14ac:dyDescent="0.25">
      <c r="A133" s="73">
        <f t="shared" si="47"/>
        <v>46154</v>
      </c>
      <c r="B133" s="72">
        <f t="shared" si="48"/>
        <v>3</v>
      </c>
      <c r="C133" s="72" t="str">
        <f t="shared" si="49"/>
        <v>terça-feira</v>
      </c>
      <c r="D133" s="78" t="str">
        <f t="shared" si="46"/>
        <v/>
      </c>
      <c r="E133" s="72" t="str">
        <f t="shared" si="31"/>
        <v>Sim</v>
      </c>
      <c r="F133" s="72">
        <f>IF(E133="Sim", COUNTIFS($E$2:E133, "Sim", $A$2:A133, "&gt;="&amp;DATE(YEAR(A133), MONTH(A133), 1)), "")</f>
        <v>7</v>
      </c>
      <c r="G133" s="72">
        <f t="shared" si="32"/>
        <v>20</v>
      </c>
      <c r="H133" s="72" t="str">
        <f t="shared" si="50"/>
        <v>5|7</v>
      </c>
    </row>
    <row r="134" spans="1:8" x14ac:dyDescent="0.25">
      <c r="A134" s="73">
        <f t="shared" si="47"/>
        <v>46155</v>
      </c>
      <c r="B134" s="72">
        <f t="shared" si="48"/>
        <v>4</v>
      </c>
      <c r="C134" s="72" t="str">
        <f t="shared" si="49"/>
        <v>quarta-feira</v>
      </c>
      <c r="D134" s="78" t="str">
        <f t="shared" si="46"/>
        <v/>
      </c>
      <c r="E134" s="72" t="str">
        <f t="shared" si="31"/>
        <v>Sim</v>
      </c>
      <c r="F134" s="72">
        <f>IF(E134="Sim", COUNTIFS($E$2:E134, "Sim", $A$2:A134, "&gt;="&amp;DATE(YEAR(A134), MONTH(A134), 1)), "")</f>
        <v>8</v>
      </c>
      <c r="G134" s="72">
        <f t="shared" si="32"/>
        <v>20</v>
      </c>
      <c r="H134" s="72" t="str">
        <f t="shared" si="50"/>
        <v>5|8</v>
      </c>
    </row>
    <row r="135" spans="1:8" x14ac:dyDescent="0.25">
      <c r="A135" s="73">
        <f t="shared" si="47"/>
        <v>46156</v>
      </c>
      <c r="B135" s="72">
        <f t="shared" si="48"/>
        <v>5</v>
      </c>
      <c r="C135" s="72" t="str">
        <f t="shared" si="49"/>
        <v>quinta-feira</v>
      </c>
      <c r="D135" s="78" t="str">
        <f t="shared" si="46"/>
        <v/>
      </c>
      <c r="E135" s="72" t="str">
        <f t="shared" si="31"/>
        <v>Sim</v>
      </c>
      <c r="F135" s="72">
        <f>IF(E135="Sim", COUNTIFS($E$2:E135, "Sim", $A$2:A135, "&gt;="&amp;DATE(YEAR(A135), MONTH(A135), 1)), "")</f>
        <v>9</v>
      </c>
      <c r="G135" s="72">
        <f t="shared" si="32"/>
        <v>20</v>
      </c>
      <c r="H135" s="72" t="str">
        <f t="shared" si="50"/>
        <v>5|9</v>
      </c>
    </row>
    <row r="136" spans="1:8" x14ac:dyDescent="0.25">
      <c r="A136" s="73">
        <f t="shared" si="47"/>
        <v>46157</v>
      </c>
      <c r="B136" s="72">
        <f t="shared" si="48"/>
        <v>6</v>
      </c>
      <c r="C136" s="72" t="str">
        <f t="shared" si="49"/>
        <v>sexta-feira</v>
      </c>
      <c r="D136" s="78" t="str">
        <f t="shared" si="46"/>
        <v/>
      </c>
      <c r="E136" s="72" t="str">
        <f t="shared" si="31"/>
        <v>Sim</v>
      </c>
      <c r="F136" s="72">
        <f>IF(E136="Sim", COUNTIFS($E$2:E136, "Sim", $A$2:A136, "&gt;="&amp;DATE(YEAR(A136), MONTH(A136), 1)), "")</f>
        <v>10</v>
      </c>
      <c r="G136" s="72">
        <f t="shared" si="32"/>
        <v>20</v>
      </c>
      <c r="H136" s="72" t="str">
        <f t="shared" si="50"/>
        <v>5|10</v>
      </c>
    </row>
    <row r="137" spans="1:8" x14ac:dyDescent="0.25">
      <c r="A137" s="73">
        <f t="shared" si="47"/>
        <v>46158</v>
      </c>
      <c r="B137" s="72">
        <f t="shared" si="48"/>
        <v>7</v>
      </c>
      <c r="C137" s="72" t="str">
        <f t="shared" si="49"/>
        <v>sábado</v>
      </c>
      <c r="D137" s="78" t="str">
        <f t="shared" si="46"/>
        <v/>
      </c>
      <c r="E137" s="72" t="str">
        <f t="shared" si="31"/>
        <v>Não</v>
      </c>
      <c r="F137" s="72" t="str">
        <f>IF(E137="Sim", COUNTIFS($E$2:E137, "Sim", $A$2:A137, "&gt;="&amp;DATE(YEAR(A137), MONTH(A137), 1)), "")</f>
        <v/>
      </c>
      <c r="G137" s="72">
        <f t="shared" si="32"/>
        <v>20</v>
      </c>
      <c r="H137" s="72" t="str">
        <f t="shared" si="50"/>
        <v/>
      </c>
    </row>
    <row r="138" spans="1:8" x14ac:dyDescent="0.25">
      <c r="A138" s="79">
        <f t="shared" ref="A138:A144" si="51">A137+1</f>
        <v>46159</v>
      </c>
      <c r="B138" s="80">
        <f t="shared" si="45"/>
        <v>1</v>
      </c>
      <c r="C138" s="80" t="str">
        <f t="shared" si="49"/>
        <v>domingo</v>
      </c>
      <c r="D138" s="81" t="str">
        <f t="shared" si="46"/>
        <v/>
      </c>
      <c r="E138" s="80" t="str">
        <f t="shared" si="31"/>
        <v>Não</v>
      </c>
      <c r="F138" s="80" t="str">
        <f>IF(E138="Sim", COUNTIFS($E$2:E138, "Sim", $A$2:A138, "&gt;="&amp;DATE(YEAR(A138), MONTH(A138), 1)), "")</f>
        <v/>
      </c>
      <c r="G138" s="80">
        <f t="shared" si="32"/>
        <v>21</v>
      </c>
      <c r="H138" s="80" t="str">
        <f t="shared" si="50"/>
        <v/>
      </c>
    </row>
    <row r="139" spans="1:8" x14ac:dyDescent="0.25">
      <c r="A139" s="79">
        <f t="shared" si="51"/>
        <v>46160</v>
      </c>
      <c r="B139" s="80">
        <f t="shared" si="45"/>
        <v>2</v>
      </c>
      <c r="C139" s="80" t="str">
        <f t="shared" si="49"/>
        <v>segunda-feira</v>
      </c>
      <c r="D139" s="81" t="str">
        <f t="shared" si="46"/>
        <v/>
      </c>
      <c r="E139" s="80" t="str">
        <f t="shared" ref="E139:E202" si="52">IF(OR(B139=1,B139=7,D139&lt;&gt;""),"Não","Sim")</f>
        <v>Sim</v>
      </c>
      <c r="F139" s="80">
        <f>IF(E139="Sim", COUNTIFS($E$2:E139, "Sim", $A$2:A139, "&gt;="&amp;DATE(YEAR(A139), MONTH(A139), 1)), "")</f>
        <v>11</v>
      </c>
      <c r="G139" s="80">
        <f t="shared" ref="G139:G202" si="53">WEEKNUM(A139)</f>
        <v>21</v>
      </c>
      <c r="H139" s="80" t="str">
        <f t="shared" si="50"/>
        <v>5|11</v>
      </c>
    </row>
    <row r="140" spans="1:8" x14ac:dyDescent="0.25">
      <c r="A140" s="79">
        <f t="shared" si="51"/>
        <v>46161</v>
      </c>
      <c r="B140" s="80">
        <f t="shared" si="45"/>
        <v>3</v>
      </c>
      <c r="C140" s="80" t="str">
        <f t="shared" si="49"/>
        <v>terça-feira</v>
      </c>
      <c r="D140" s="81" t="str">
        <f t="shared" si="46"/>
        <v/>
      </c>
      <c r="E140" s="80" t="str">
        <f t="shared" si="52"/>
        <v>Sim</v>
      </c>
      <c r="F140" s="80">
        <f>IF(E140="Sim", COUNTIFS($E$2:E140, "Sim", $A$2:A140, "&gt;="&amp;DATE(YEAR(A140), MONTH(A140), 1)), "")</f>
        <v>12</v>
      </c>
      <c r="G140" s="80">
        <f t="shared" si="53"/>
        <v>21</v>
      </c>
      <c r="H140" s="80" t="str">
        <f t="shared" si="50"/>
        <v>5|12</v>
      </c>
    </row>
    <row r="141" spans="1:8" x14ac:dyDescent="0.25">
      <c r="A141" s="79">
        <f t="shared" si="51"/>
        <v>46162</v>
      </c>
      <c r="B141" s="80">
        <f t="shared" si="45"/>
        <v>4</v>
      </c>
      <c r="C141" s="80" t="str">
        <f t="shared" si="49"/>
        <v>quarta-feira</v>
      </c>
      <c r="D141" s="81" t="str">
        <f t="shared" si="46"/>
        <v/>
      </c>
      <c r="E141" s="80" t="str">
        <f t="shared" si="52"/>
        <v>Sim</v>
      </c>
      <c r="F141" s="80">
        <f>IF(E141="Sim", COUNTIFS($E$2:E141, "Sim", $A$2:A141, "&gt;="&amp;DATE(YEAR(A141), MONTH(A141), 1)), "")</f>
        <v>13</v>
      </c>
      <c r="G141" s="80">
        <f t="shared" si="53"/>
        <v>21</v>
      </c>
      <c r="H141" s="80" t="str">
        <f t="shared" si="50"/>
        <v>5|13</v>
      </c>
    </row>
    <row r="142" spans="1:8" x14ac:dyDescent="0.25">
      <c r="A142" s="79">
        <f t="shared" si="51"/>
        <v>46163</v>
      </c>
      <c r="B142" s="80">
        <f t="shared" si="45"/>
        <v>5</v>
      </c>
      <c r="C142" s="80" t="str">
        <f t="shared" si="49"/>
        <v>quinta-feira</v>
      </c>
      <c r="D142" s="81" t="str">
        <f t="shared" si="46"/>
        <v/>
      </c>
      <c r="E142" s="80" t="str">
        <f t="shared" si="52"/>
        <v>Sim</v>
      </c>
      <c r="F142" s="80">
        <f>IF(E142="Sim", COUNTIFS($E$2:E142, "Sim", $A$2:A142, "&gt;="&amp;DATE(YEAR(A142), MONTH(A142), 1)), "")</f>
        <v>14</v>
      </c>
      <c r="G142" s="80">
        <f t="shared" si="53"/>
        <v>21</v>
      </c>
      <c r="H142" s="80" t="str">
        <f t="shared" si="50"/>
        <v>5|14</v>
      </c>
    </row>
    <row r="143" spans="1:8" x14ac:dyDescent="0.25">
      <c r="A143" s="79">
        <f t="shared" si="51"/>
        <v>46164</v>
      </c>
      <c r="B143" s="80">
        <f t="shared" si="45"/>
        <v>6</v>
      </c>
      <c r="C143" s="80" t="str">
        <f t="shared" si="49"/>
        <v>sexta-feira</v>
      </c>
      <c r="D143" s="81" t="str">
        <f t="shared" si="46"/>
        <v/>
      </c>
      <c r="E143" s="80" t="str">
        <f t="shared" si="52"/>
        <v>Sim</v>
      </c>
      <c r="F143" s="80">
        <f>IF(E143="Sim", COUNTIFS($E$2:E143, "Sim", $A$2:A143, "&gt;="&amp;DATE(YEAR(A143), MONTH(A143), 1)), "")</f>
        <v>15</v>
      </c>
      <c r="G143" s="80">
        <f t="shared" si="53"/>
        <v>21</v>
      </c>
      <c r="H143" s="80" t="str">
        <f t="shared" si="50"/>
        <v>5|15</v>
      </c>
    </row>
    <row r="144" spans="1:8" x14ac:dyDescent="0.25">
      <c r="A144" s="79">
        <f t="shared" si="51"/>
        <v>46165</v>
      </c>
      <c r="B144" s="80">
        <f t="shared" si="45"/>
        <v>7</v>
      </c>
      <c r="C144" s="80" t="str">
        <f t="shared" si="49"/>
        <v>sábado</v>
      </c>
      <c r="D144" s="81" t="str">
        <f t="shared" si="46"/>
        <v/>
      </c>
      <c r="E144" s="80" t="str">
        <f t="shared" si="52"/>
        <v>Não</v>
      </c>
      <c r="F144" s="80" t="str">
        <f>IF(E144="Sim", COUNTIFS($E$2:E144, "Sim", $A$2:A144, "&gt;="&amp;DATE(YEAR(A144), MONTH(A144), 1)), "")</f>
        <v/>
      </c>
      <c r="G144" s="80">
        <f t="shared" si="53"/>
        <v>21</v>
      </c>
      <c r="H144" s="80" t="str">
        <f t="shared" si="50"/>
        <v/>
      </c>
    </row>
    <row r="145" spans="1:8" x14ac:dyDescent="0.25">
      <c r="A145" s="73">
        <f t="shared" ref="A145:A151" si="54">A144+1</f>
        <v>46166</v>
      </c>
      <c r="B145" s="72">
        <f t="shared" ref="B145:B151" si="55">WEEKDAY(A145,1)</f>
        <v>1</v>
      </c>
      <c r="C145" s="72" t="str">
        <f t="shared" si="49"/>
        <v>domingo</v>
      </c>
      <c r="D145" s="78" t="str">
        <f t="shared" si="46"/>
        <v/>
      </c>
      <c r="E145" s="72" t="str">
        <f t="shared" si="52"/>
        <v>Não</v>
      </c>
      <c r="F145" s="72" t="str">
        <f>IF(E145="Sim", COUNTIFS($E$2:E145, "Sim", $A$2:A145, "&gt;="&amp;DATE(YEAR(A145), MONTH(A145), 1)), "")</f>
        <v/>
      </c>
      <c r="G145" s="72">
        <f t="shared" si="53"/>
        <v>22</v>
      </c>
      <c r="H145" s="72" t="str">
        <f t="shared" si="50"/>
        <v/>
      </c>
    </row>
    <row r="146" spans="1:8" x14ac:dyDescent="0.25">
      <c r="A146" s="73">
        <f t="shared" si="54"/>
        <v>46167</v>
      </c>
      <c r="B146" s="72">
        <f t="shared" si="55"/>
        <v>2</v>
      </c>
      <c r="C146" s="72" t="str">
        <f t="shared" si="49"/>
        <v>segunda-feira</v>
      </c>
      <c r="D146" s="78" t="str">
        <f t="shared" si="46"/>
        <v/>
      </c>
      <c r="E146" s="72" t="str">
        <f t="shared" si="52"/>
        <v>Sim</v>
      </c>
      <c r="F146" s="72">
        <f>IF(E146="Sim", COUNTIFS($E$2:E146, "Sim", $A$2:A146, "&gt;="&amp;DATE(YEAR(A146), MONTH(A146), 1)), "")</f>
        <v>16</v>
      </c>
      <c r="G146" s="72">
        <f t="shared" si="53"/>
        <v>22</v>
      </c>
      <c r="H146" s="72" t="str">
        <f t="shared" si="50"/>
        <v>5|16</v>
      </c>
    </row>
    <row r="147" spans="1:8" x14ac:dyDescent="0.25">
      <c r="A147" s="73">
        <f t="shared" si="54"/>
        <v>46168</v>
      </c>
      <c r="B147" s="72">
        <f t="shared" si="55"/>
        <v>3</v>
      </c>
      <c r="C147" s="72" t="str">
        <f t="shared" si="49"/>
        <v>terça-feira</v>
      </c>
      <c r="D147" s="78" t="str">
        <f t="shared" si="46"/>
        <v/>
      </c>
      <c r="E147" s="72" t="str">
        <f t="shared" si="52"/>
        <v>Sim</v>
      </c>
      <c r="F147" s="72">
        <f>IF(E147="Sim", COUNTIFS($E$2:E147, "Sim", $A$2:A147, "&gt;="&amp;DATE(YEAR(A147), MONTH(A147), 1)), "")</f>
        <v>17</v>
      </c>
      <c r="G147" s="72">
        <f t="shared" si="53"/>
        <v>22</v>
      </c>
      <c r="H147" s="72" t="str">
        <f t="shared" si="50"/>
        <v>5|17</v>
      </c>
    </row>
    <row r="148" spans="1:8" x14ac:dyDescent="0.25">
      <c r="A148" s="73">
        <f t="shared" si="54"/>
        <v>46169</v>
      </c>
      <c r="B148" s="72">
        <f t="shared" si="55"/>
        <v>4</v>
      </c>
      <c r="C148" s="72" t="str">
        <f t="shared" si="49"/>
        <v>quarta-feira</v>
      </c>
      <c r="D148" s="78" t="str">
        <f t="shared" si="46"/>
        <v/>
      </c>
      <c r="E148" s="72" t="str">
        <f t="shared" si="52"/>
        <v>Sim</v>
      </c>
      <c r="F148" s="72">
        <f>IF(E148="Sim", COUNTIFS($E$2:E148, "Sim", $A$2:A148, "&gt;="&amp;DATE(YEAR(A148), MONTH(A148), 1)), "")</f>
        <v>18</v>
      </c>
      <c r="G148" s="72">
        <f t="shared" si="53"/>
        <v>22</v>
      </c>
      <c r="H148" s="72" t="str">
        <f t="shared" si="50"/>
        <v>5|18</v>
      </c>
    </row>
    <row r="149" spans="1:8" x14ac:dyDescent="0.25">
      <c r="A149" s="73">
        <f t="shared" si="54"/>
        <v>46170</v>
      </c>
      <c r="B149" s="72">
        <f t="shared" si="55"/>
        <v>5</v>
      </c>
      <c r="C149" s="72" t="str">
        <f t="shared" si="49"/>
        <v>quinta-feira</v>
      </c>
      <c r="D149" s="78" t="str">
        <f t="shared" si="46"/>
        <v/>
      </c>
      <c r="E149" s="72" t="str">
        <f t="shared" si="52"/>
        <v>Sim</v>
      </c>
      <c r="F149" s="72">
        <f>IF(E149="Sim", COUNTIFS($E$2:E149, "Sim", $A$2:A149, "&gt;="&amp;DATE(YEAR(A149), MONTH(A149), 1)), "")</f>
        <v>19</v>
      </c>
      <c r="G149" s="72">
        <f t="shared" si="53"/>
        <v>22</v>
      </c>
      <c r="H149" s="72" t="str">
        <f t="shared" si="50"/>
        <v>5|19</v>
      </c>
    </row>
    <row r="150" spans="1:8" x14ac:dyDescent="0.25">
      <c r="A150" s="73">
        <f t="shared" si="54"/>
        <v>46171</v>
      </c>
      <c r="B150" s="72">
        <f t="shared" si="55"/>
        <v>6</v>
      </c>
      <c r="C150" s="72" t="str">
        <f t="shared" si="49"/>
        <v>sexta-feira</v>
      </c>
      <c r="D150" s="78" t="str">
        <f t="shared" si="46"/>
        <v/>
      </c>
      <c r="E150" s="72" t="str">
        <f t="shared" si="52"/>
        <v>Sim</v>
      </c>
      <c r="F150" s="72">
        <f>IF(E150="Sim", COUNTIFS($E$2:E150, "Sim", $A$2:A150, "&gt;="&amp;DATE(YEAR(A150), MONTH(A150), 1)), "")</f>
        <v>20</v>
      </c>
      <c r="G150" s="72">
        <f t="shared" si="53"/>
        <v>22</v>
      </c>
      <c r="H150" s="72" t="str">
        <f t="shared" si="50"/>
        <v>5|20</v>
      </c>
    </row>
    <row r="151" spans="1:8" x14ac:dyDescent="0.25">
      <c r="A151" s="73">
        <f t="shared" si="54"/>
        <v>46172</v>
      </c>
      <c r="B151" s="72">
        <f t="shared" si="55"/>
        <v>7</v>
      </c>
      <c r="C151" s="72" t="str">
        <f t="shared" si="49"/>
        <v>sábado</v>
      </c>
      <c r="D151" s="78" t="str">
        <f t="shared" si="46"/>
        <v/>
      </c>
      <c r="E151" s="72" t="str">
        <f t="shared" si="52"/>
        <v>Não</v>
      </c>
      <c r="F151" s="72" t="str">
        <f>IF(E151="Sim", COUNTIFS($E$2:E151, "Sim", $A$2:A151, "&gt;="&amp;DATE(YEAR(A151), MONTH(A151), 1)), "")</f>
        <v/>
      </c>
      <c r="G151" s="72">
        <f t="shared" si="53"/>
        <v>22</v>
      </c>
      <c r="H151" s="72" t="str">
        <f t="shared" si="50"/>
        <v/>
      </c>
    </row>
    <row r="152" spans="1:8" x14ac:dyDescent="0.25">
      <c r="A152" s="79">
        <f t="shared" ref="A152:A158" si="56">A151+1</f>
        <v>46173</v>
      </c>
      <c r="B152" s="80">
        <f t="shared" ref="B152:B158" si="57">WEEKDAY(A152,1)</f>
        <v>1</v>
      </c>
      <c r="C152" s="80" t="str">
        <f t="shared" si="49"/>
        <v>domingo</v>
      </c>
      <c r="D152" s="81" t="str">
        <f t="shared" si="46"/>
        <v/>
      </c>
      <c r="E152" s="80" t="str">
        <f t="shared" si="52"/>
        <v>Não</v>
      </c>
      <c r="F152" s="80" t="str">
        <f>IF(E152="Sim", COUNTIFS($E$2:E152, "Sim", $A$2:A152, "&gt;="&amp;DATE(YEAR(A152), MONTH(A152), 1)), "")</f>
        <v/>
      </c>
      <c r="G152" s="80">
        <f t="shared" si="53"/>
        <v>23</v>
      </c>
      <c r="H152" s="80" t="str">
        <f t="shared" si="50"/>
        <v/>
      </c>
    </row>
    <row r="153" spans="1:8" x14ac:dyDescent="0.25">
      <c r="A153" s="79">
        <f t="shared" si="56"/>
        <v>46174</v>
      </c>
      <c r="B153" s="80">
        <f t="shared" si="57"/>
        <v>2</v>
      </c>
      <c r="C153" s="80" t="str">
        <f t="shared" si="49"/>
        <v>segunda-feira</v>
      </c>
      <c r="D153" s="81" t="str">
        <f t="shared" si="46"/>
        <v/>
      </c>
      <c r="E153" s="80" t="str">
        <f t="shared" si="52"/>
        <v>Sim</v>
      </c>
      <c r="F153" s="80">
        <f>IF(E153="Sim", COUNTIFS($E$2:E153, "Sim", $A$2:A153, "&gt;="&amp;DATE(YEAR(A153), MONTH(A153), 1)), "")</f>
        <v>1</v>
      </c>
      <c r="G153" s="80">
        <f t="shared" si="53"/>
        <v>23</v>
      </c>
      <c r="H153" s="80" t="str">
        <f t="shared" si="50"/>
        <v>6|1</v>
      </c>
    </row>
    <row r="154" spans="1:8" x14ac:dyDescent="0.25">
      <c r="A154" s="79">
        <f t="shared" si="56"/>
        <v>46175</v>
      </c>
      <c r="B154" s="80">
        <f t="shared" si="57"/>
        <v>3</v>
      </c>
      <c r="C154" s="80" t="str">
        <f t="shared" si="49"/>
        <v>terça-feira</v>
      </c>
      <c r="D154" s="81" t="str">
        <f t="shared" si="46"/>
        <v/>
      </c>
      <c r="E154" s="80" t="str">
        <f t="shared" si="52"/>
        <v>Sim</v>
      </c>
      <c r="F154" s="80">
        <f>IF(E154="Sim", COUNTIFS($E$2:E154, "Sim", $A$2:A154, "&gt;="&amp;DATE(YEAR(A154), MONTH(A154), 1)), "")</f>
        <v>2</v>
      </c>
      <c r="G154" s="80">
        <f t="shared" si="53"/>
        <v>23</v>
      </c>
      <c r="H154" s="80" t="str">
        <f t="shared" si="50"/>
        <v>6|2</v>
      </c>
    </row>
    <row r="155" spans="1:8" x14ac:dyDescent="0.25">
      <c r="A155" s="79">
        <f t="shared" si="56"/>
        <v>46176</v>
      </c>
      <c r="B155" s="80">
        <f t="shared" si="57"/>
        <v>4</v>
      </c>
      <c r="C155" s="80" t="str">
        <f t="shared" si="49"/>
        <v>quarta-feira</v>
      </c>
      <c r="D155" s="81" t="str">
        <f t="shared" si="46"/>
        <v/>
      </c>
      <c r="E155" s="80" t="str">
        <f t="shared" si="52"/>
        <v>Sim</v>
      </c>
      <c r="F155" s="80">
        <f>IF(E155="Sim", COUNTIFS($E$2:E155, "Sim", $A$2:A155, "&gt;="&amp;DATE(YEAR(A155), MONTH(A155), 1)), "")</f>
        <v>3</v>
      </c>
      <c r="G155" s="80">
        <f t="shared" si="53"/>
        <v>23</v>
      </c>
      <c r="H155" s="80" t="str">
        <f t="shared" si="50"/>
        <v>6|3</v>
      </c>
    </row>
    <row r="156" spans="1:8" x14ac:dyDescent="0.25">
      <c r="A156" s="79">
        <f t="shared" si="56"/>
        <v>46177</v>
      </c>
      <c r="B156" s="80">
        <f t="shared" si="57"/>
        <v>5</v>
      </c>
      <c r="C156" s="80" t="str">
        <f t="shared" si="49"/>
        <v>quinta-feira</v>
      </c>
      <c r="D156" s="81" t="str">
        <f t="shared" si="46"/>
        <v/>
      </c>
      <c r="E156" s="80" t="str">
        <f t="shared" si="52"/>
        <v>Sim</v>
      </c>
      <c r="F156" s="80">
        <f>IF(E156="Sim", COUNTIFS($E$2:E156, "Sim", $A$2:A156, "&gt;="&amp;DATE(YEAR(A156), MONTH(A156), 1)), "")</f>
        <v>4</v>
      </c>
      <c r="G156" s="80">
        <f t="shared" si="53"/>
        <v>23</v>
      </c>
      <c r="H156" s="80" t="str">
        <f t="shared" si="50"/>
        <v>6|4</v>
      </c>
    </row>
    <row r="157" spans="1:8" x14ac:dyDescent="0.25">
      <c r="A157" s="79">
        <f t="shared" si="56"/>
        <v>46178</v>
      </c>
      <c r="B157" s="80">
        <f t="shared" si="57"/>
        <v>6</v>
      </c>
      <c r="C157" s="80" t="str">
        <f t="shared" si="49"/>
        <v>sexta-feira</v>
      </c>
      <c r="D157" s="81" t="str">
        <f t="shared" si="46"/>
        <v/>
      </c>
      <c r="E157" s="80" t="str">
        <f t="shared" si="52"/>
        <v>Sim</v>
      </c>
      <c r="F157" s="80">
        <f>IF(E157="Sim", COUNTIFS($E$2:E157, "Sim", $A$2:A157, "&gt;="&amp;DATE(YEAR(A157), MONTH(A157), 1)), "")</f>
        <v>5</v>
      </c>
      <c r="G157" s="80">
        <f t="shared" si="53"/>
        <v>23</v>
      </c>
      <c r="H157" s="80" t="str">
        <f t="shared" si="50"/>
        <v>6|5</v>
      </c>
    </row>
    <row r="158" spans="1:8" x14ac:dyDescent="0.25">
      <c r="A158" s="79">
        <f t="shared" si="56"/>
        <v>46179</v>
      </c>
      <c r="B158" s="80">
        <f t="shared" si="57"/>
        <v>7</v>
      </c>
      <c r="C158" s="80" t="str">
        <f t="shared" si="49"/>
        <v>sábado</v>
      </c>
      <c r="D158" s="81" t="str">
        <f t="shared" si="46"/>
        <v/>
      </c>
      <c r="E158" s="80" t="str">
        <f t="shared" si="52"/>
        <v>Não</v>
      </c>
      <c r="F158" s="80" t="str">
        <f>IF(E158="Sim", COUNTIFS($E$2:E158, "Sim", $A$2:A158, "&gt;="&amp;DATE(YEAR(A158), MONTH(A158), 1)), "")</f>
        <v/>
      </c>
      <c r="G158" s="80">
        <f t="shared" si="53"/>
        <v>23</v>
      </c>
      <c r="H158" s="80" t="str">
        <f t="shared" si="50"/>
        <v/>
      </c>
    </row>
    <row r="159" spans="1:8" x14ac:dyDescent="0.25">
      <c r="A159" s="73">
        <f t="shared" ref="A159:A165" si="58">A158+1</f>
        <v>46180</v>
      </c>
      <c r="B159" s="72">
        <f t="shared" ref="B159:B165" si="59">WEEKDAY(A159,1)</f>
        <v>1</v>
      </c>
      <c r="C159" s="72" t="str">
        <f t="shared" si="49"/>
        <v>domingo</v>
      </c>
      <c r="D159" s="78" t="str">
        <f t="shared" si="46"/>
        <v/>
      </c>
      <c r="E159" s="72" t="str">
        <f t="shared" si="52"/>
        <v>Não</v>
      </c>
      <c r="F159" s="72" t="str">
        <f>IF(E159="Sim", COUNTIFS($E$2:E159, "Sim", $A$2:A159, "&gt;="&amp;DATE(YEAR(A159), MONTH(A159), 1)), "")</f>
        <v/>
      </c>
      <c r="G159" s="72">
        <f t="shared" si="53"/>
        <v>24</v>
      </c>
      <c r="H159" s="72" t="str">
        <f t="shared" si="50"/>
        <v/>
      </c>
    </row>
    <row r="160" spans="1:8" x14ac:dyDescent="0.25">
      <c r="A160" s="73">
        <f t="shared" si="58"/>
        <v>46181</v>
      </c>
      <c r="B160" s="72">
        <f t="shared" si="59"/>
        <v>2</v>
      </c>
      <c r="C160" s="72" t="str">
        <f t="shared" si="49"/>
        <v>segunda-feira</v>
      </c>
      <c r="D160" s="78" t="str">
        <f t="shared" si="46"/>
        <v/>
      </c>
      <c r="E160" s="72" t="str">
        <f t="shared" si="52"/>
        <v>Sim</v>
      </c>
      <c r="F160" s="72">
        <f>IF(E160="Sim", COUNTIFS($E$2:E160, "Sim", $A$2:A160, "&gt;="&amp;DATE(YEAR(A160), MONTH(A160), 1)), "")</f>
        <v>6</v>
      </c>
      <c r="G160" s="72">
        <f t="shared" si="53"/>
        <v>24</v>
      </c>
      <c r="H160" s="72" t="str">
        <f t="shared" si="50"/>
        <v>6|6</v>
      </c>
    </row>
    <row r="161" spans="1:8" x14ac:dyDescent="0.25">
      <c r="A161" s="73">
        <f t="shared" si="58"/>
        <v>46182</v>
      </c>
      <c r="B161" s="72">
        <f t="shared" si="59"/>
        <v>3</v>
      </c>
      <c r="C161" s="72" t="str">
        <f t="shared" si="49"/>
        <v>terça-feira</v>
      </c>
      <c r="D161" s="78" t="str">
        <f t="shared" si="46"/>
        <v/>
      </c>
      <c r="E161" s="72" t="str">
        <f t="shared" si="52"/>
        <v>Sim</v>
      </c>
      <c r="F161" s="72">
        <f>IF(E161="Sim", COUNTIFS($E$2:E161, "Sim", $A$2:A161, "&gt;="&amp;DATE(YEAR(A161), MONTH(A161), 1)), "")</f>
        <v>7</v>
      </c>
      <c r="G161" s="72">
        <f t="shared" si="53"/>
        <v>24</v>
      </c>
      <c r="H161" s="72" t="str">
        <f t="shared" si="50"/>
        <v>6|7</v>
      </c>
    </row>
    <row r="162" spans="1:8" x14ac:dyDescent="0.25">
      <c r="A162" s="73">
        <f t="shared" si="58"/>
        <v>46183</v>
      </c>
      <c r="B162" s="72">
        <f t="shared" si="59"/>
        <v>4</v>
      </c>
      <c r="C162" s="72" t="str">
        <f t="shared" si="49"/>
        <v>quarta-feira</v>
      </c>
      <c r="D162" s="78" t="str">
        <f t="shared" si="46"/>
        <v/>
      </c>
      <c r="E162" s="72" t="str">
        <f t="shared" si="52"/>
        <v>Sim</v>
      </c>
      <c r="F162" s="72">
        <f>IF(E162="Sim", COUNTIFS($E$2:E162, "Sim", $A$2:A162, "&gt;="&amp;DATE(YEAR(A162), MONTH(A162), 1)), "")</f>
        <v>8</v>
      </c>
      <c r="G162" s="72">
        <f t="shared" si="53"/>
        <v>24</v>
      </c>
      <c r="H162" s="72" t="str">
        <f t="shared" si="50"/>
        <v>6|8</v>
      </c>
    </row>
    <row r="163" spans="1:8" x14ac:dyDescent="0.25">
      <c r="A163" s="73">
        <f t="shared" si="58"/>
        <v>46184</v>
      </c>
      <c r="B163" s="72">
        <f t="shared" si="59"/>
        <v>5</v>
      </c>
      <c r="C163" s="72" t="str">
        <f t="shared" si="49"/>
        <v>quinta-feira</v>
      </c>
      <c r="D163" s="78" t="str">
        <f t="shared" si="46"/>
        <v/>
      </c>
      <c r="E163" s="72" t="str">
        <f t="shared" si="52"/>
        <v>Sim</v>
      </c>
      <c r="F163" s="72">
        <f>IF(E163="Sim", COUNTIFS($E$2:E163, "Sim", $A$2:A163, "&gt;="&amp;DATE(YEAR(A163), MONTH(A163), 1)), "")</f>
        <v>9</v>
      </c>
      <c r="G163" s="72">
        <f t="shared" si="53"/>
        <v>24</v>
      </c>
      <c r="H163" s="72" t="str">
        <f t="shared" si="50"/>
        <v>6|9</v>
      </c>
    </row>
    <row r="164" spans="1:8" x14ac:dyDescent="0.25">
      <c r="A164" s="73">
        <f t="shared" si="58"/>
        <v>46185</v>
      </c>
      <c r="B164" s="72">
        <f t="shared" si="59"/>
        <v>6</v>
      </c>
      <c r="C164" s="72" t="str">
        <f t="shared" si="49"/>
        <v>sexta-feira</v>
      </c>
      <c r="D164" s="78" t="str">
        <f t="shared" si="46"/>
        <v/>
      </c>
      <c r="E164" s="72" t="str">
        <f t="shared" si="52"/>
        <v>Sim</v>
      </c>
      <c r="F164" s="72">
        <f>IF(E164="Sim", COUNTIFS($E$2:E164, "Sim", $A$2:A164, "&gt;="&amp;DATE(YEAR(A164), MONTH(A164), 1)), "")</f>
        <v>10</v>
      </c>
      <c r="G164" s="72">
        <f t="shared" si="53"/>
        <v>24</v>
      </c>
      <c r="H164" s="72" t="str">
        <f t="shared" si="50"/>
        <v>6|10</v>
      </c>
    </row>
    <row r="165" spans="1:8" x14ac:dyDescent="0.25">
      <c r="A165" s="73">
        <f t="shared" si="58"/>
        <v>46186</v>
      </c>
      <c r="B165" s="72">
        <f t="shared" si="59"/>
        <v>7</v>
      </c>
      <c r="C165" s="72" t="str">
        <f t="shared" si="49"/>
        <v>sábado</v>
      </c>
      <c r="D165" s="78" t="str">
        <f t="shared" si="46"/>
        <v/>
      </c>
      <c r="E165" s="72" t="str">
        <f t="shared" si="52"/>
        <v>Não</v>
      </c>
      <c r="F165" s="72" t="str">
        <f>IF(E165="Sim", COUNTIFS($E$2:E165, "Sim", $A$2:A165, "&gt;="&amp;DATE(YEAR(A165), MONTH(A165), 1)), "")</f>
        <v/>
      </c>
      <c r="G165" s="72">
        <f t="shared" si="53"/>
        <v>24</v>
      </c>
      <c r="H165" s="72" t="str">
        <f t="shared" si="50"/>
        <v/>
      </c>
    </row>
    <row r="166" spans="1:8" x14ac:dyDescent="0.25">
      <c r="A166" s="79">
        <f t="shared" ref="A166:A172" si="60">A165+1</f>
        <v>46187</v>
      </c>
      <c r="B166" s="80">
        <f t="shared" ref="B166:B172" si="61">WEEKDAY(A166,1)</f>
        <v>1</v>
      </c>
      <c r="C166" s="80" t="str">
        <f t="shared" si="49"/>
        <v>domingo</v>
      </c>
      <c r="D166" s="81" t="str">
        <f t="shared" si="46"/>
        <v/>
      </c>
      <c r="E166" s="80" t="str">
        <f t="shared" si="52"/>
        <v>Não</v>
      </c>
      <c r="F166" s="80" t="str">
        <f>IF(E166="Sim", COUNTIFS($E$2:E166, "Sim", $A$2:A166, "&gt;="&amp;DATE(YEAR(A166), MONTH(A166), 1)), "")</f>
        <v/>
      </c>
      <c r="G166" s="80">
        <f t="shared" si="53"/>
        <v>25</v>
      </c>
      <c r="H166" s="80" t="str">
        <f t="shared" si="50"/>
        <v/>
      </c>
    </row>
    <row r="167" spans="1:8" x14ac:dyDescent="0.25">
      <c r="A167" s="79">
        <f t="shared" si="60"/>
        <v>46188</v>
      </c>
      <c r="B167" s="80">
        <f t="shared" si="61"/>
        <v>2</v>
      </c>
      <c r="C167" s="80" t="str">
        <f t="shared" si="49"/>
        <v>segunda-feira</v>
      </c>
      <c r="D167" s="81" t="str">
        <f t="shared" si="46"/>
        <v/>
      </c>
      <c r="E167" s="80" t="str">
        <f t="shared" si="52"/>
        <v>Sim</v>
      </c>
      <c r="F167" s="80">
        <f>IF(E167="Sim", COUNTIFS($E$2:E167, "Sim", $A$2:A167, "&gt;="&amp;DATE(YEAR(A167), MONTH(A167), 1)), "")</f>
        <v>11</v>
      </c>
      <c r="G167" s="80">
        <f t="shared" si="53"/>
        <v>25</v>
      </c>
      <c r="H167" s="80" t="str">
        <f t="shared" si="50"/>
        <v>6|11</v>
      </c>
    </row>
    <row r="168" spans="1:8" x14ac:dyDescent="0.25">
      <c r="A168" s="79">
        <f t="shared" si="60"/>
        <v>46189</v>
      </c>
      <c r="B168" s="80">
        <f t="shared" si="61"/>
        <v>3</v>
      </c>
      <c r="C168" s="80" t="str">
        <f t="shared" si="49"/>
        <v>terça-feira</v>
      </c>
      <c r="D168" s="81" t="str">
        <f t="shared" si="46"/>
        <v/>
      </c>
      <c r="E168" s="80" t="str">
        <f t="shared" si="52"/>
        <v>Sim</v>
      </c>
      <c r="F168" s="80">
        <f>IF(E168="Sim", COUNTIFS($E$2:E168, "Sim", $A$2:A168, "&gt;="&amp;DATE(YEAR(A168), MONTH(A168), 1)), "")</f>
        <v>12</v>
      </c>
      <c r="G168" s="80">
        <f t="shared" si="53"/>
        <v>25</v>
      </c>
      <c r="H168" s="80" t="str">
        <f t="shared" si="50"/>
        <v>6|12</v>
      </c>
    </row>
    <row r="169" spans="1:8" x14ac:dyDescent="0.25">
      <c r="A169" s="79">
        <f t="shared" si="60"/>
        <v>46190</v>
      </c>
      <c r="B169" s="80">
        <f t="shared" si="61"/>
        <v>4</v>
      </c>
      <c r="C169" s="80" t="str">
        <f t="shared" si="49"/>
        <v>quarta-feira</v>
      </c>
      <c r="D169" s="81" t="str">
        <f t="shared" si="46"/>
        <v/>
      </c>
      <c r="E169" s="80" t="str">
        <f t="shared" si="52"/>
        <v>Sim</v>
      </c>
      <c r="F169" s="80">
        <f>IF(E169="Sim", COUNTIFS($E$2:E169, "Sim", $A$2:A169, "&gt;="&amp;DATE(YEAR(A169), MONTH(A169), 1)), "")</f>
        <v>13</v>
      </c>
      <c r="G169" s="80">
        <f t="shared" si="53"/>
        <v>25</v>
      </c>
      <c r="H169" s="80" t="str">
        <f t="shared" si="50"/>
        <v>6|13</v>
      </c>
    </row>
    <row r="170" spans="1:8" x14ac:dyDescent="0.25">
      <c r="A170" s="79">
        <f t="shared" si="60"/>
        <v>46191</v>
      </c>
      <c r="B170" s="80">
        <f t="shared" si="61"/>
        <v>5</v>
      </c>
      <c r="C170" s="80" t="str">
        <f t="shared" si="49"/>
        <v>quinta-feira</v>
      </c>
      <c r="D170" s="81" t="str">
        <f t="shared" si="46"/>
        <v/>
      </c>
      <c r="E170" s="80" t="str">
        <f t="shared" si="52"/>
        <v>Sim</v>
      </c>
      <c r="F170" s="80">
        <f>IF(E170="Sim", COUNTIFS($E$2:E170, "Sim", $A$2:A170, "&gt;="&amp;DATE(YEAR(A170), MONTH(A170), 1)), "")</f>
        <v>14</v>
      </c>
      <c r="G170" s="80">
        <f t="shared" si="53"/>
        <v>25</v>
      </c>
      <c r="H170" s="80" t="str">
        <f t="shared" si="50"/>
        <v>6|14</v>
      </c>
    </row>
    <row r="171" spans="1:8" x14ac:dyDescent="0.25">
      <c r="A171" s="79">
        <f t="shared" si="60"/>
        <v>46192</v>
      </c>
      <c r="B171" s="80">
        <f t="shared" si="61"/>
        <v>6</v>
      </c>
      <c r="C171" s="80" t="str">
        <f t="shared" si="49"/>
        <v>sexta-feira</v>
      </c>
      <c r="D171" s="81" t="str">
        <f t="shared" si="46"/>
        <v/>
      </c>
      <c r="E171" s="80" t="str">
        <f t="shared" si="52"/>
        <v>Sim</v>
      </c>
      <c r="F171" s="80">
        <f>IF(E171="Sim", COUNTIFS($E$2:E171, "Sim", $A$2:A171, "&gt;="&amp;DATE(YEAR(A171), MONTH(A171), 1)), "")</f>
        <v>15</v>
      </c>
      <c r="G171" s="80">
        <f t="shared" si="53"/>
        <v>25</v>
      </c>
      <c r="H171" s="80" t="str">
        <f t="shared" si="50"/>
        <v>6|15</v>
      </c>
    </row>
    <row r="172" spans="1:8" x14ac:dyDescent="0.25">
      <c r="A172" s="79">
        <f t="shared" si="60"/>
        <v>46193</v>
      </c>
      <c r="B172" s="80">
        <f t="shared" si="61"/>
        <v>7</v>
      </c>
      <c r="C172" s="80" t="str">
        <f t="shared" si="49"/>
        <v>sábado</v>
      </c>
      <c r="D172" s="81" t="str">
        <f t="shared" si="46"/>
        <v/>
      </c>
      <c r="E172" s="80" t="str">
        <f t="shared" si="52"/>
        <v>Não</v>
      </c>
      <c r="F172" s="80" t="str">
        <f>IF(E172="Sim", COUNTIFS($E$2:E172, "Sim", $A$2:A172, "&gt;="&amp;DATE(YEAR(A172), MONTH(A172), 1)), "")</f>
        <v/>
      </c>
      <c r="G172" s="80">
        <f t="shared" si="53"/>
        <v>25</v>
      </c>
      <c r="H172" s="80" t="str">
        <f t="shared" si="50"/>
        <v/>
      </c>
    </row>
    <row r="173" spans="1:8" x14ac:dyDescent="0.25">
      <c r="A173" s="73">
        <f t="shared" ref="A173:A179" si="62">A172+1</f>
        <v>46194</v>
      </c>
      <c r="B173" s="72">
        <f t="shared" ref="B173:B179" si="63">WEEKDAY(A173,1)</f>
        <v>1</v>
      </c>
      <c r="C173" s="72" t="str">
        <f t="shared" si="49"/>
        <v>domingo</v>
      </c>
      <c r="D173" s="78" t="str">
        <f t="shared" si="46"/>
        <v/>
      </c>
      <c r="E173" s="72" t="str">
        <f t="shared" si="52"/>
        <v>Não</v>
      </c>
      <c r="F173" s="72" t="str">
        <f>IF(E173="Sim", COUNTIFS($E$2:E173, "Sim", $A$2:A173, "&gt;="&amp;DATE(YEAR(A173), MONTH(A173), 1)), "")</f>
        <v/>
      </c>
      <c r="G173" s="72">
        <f t="shared" si="53"/>
        <v>26</v>
      </c>
      <c r="H173" s="72" t="str">
        <f t="shared" si="50"/>
        <v/>
      </c>
    </row>
    <row r="174" spans="1:8" x14ac:dyDescent="0.25">
      <c r="A174" s="73">
        <f t="shared" si="62"/>
        <v>46195</v>
      </c>
      <c r="B174" s="72">
        <f t="shared" si="63"/>
        <v>2</v>
      </c>
      <c r="C174" s="72" t="str">
        <f t="shared" si="49"/>
        <v>segunda-feira</v>
      </c>
      <c r="D174" s="78" t="str">
        <f t="shared" si="46"/>
        <v/>
      </c>
      <c r="E174" s="72" t="str">
        <f t="shared" si="52"/>
        <v>Sim</v>
      </c>
      <c r="F174" s="72">
        <f>IF(E174="Sim", COUNTIFS($E$2:E174, "Sim", $A$2:A174, "&gt;="&amp;DATE(YEAR(A174), MONTH(A174), 1)), "")</f>
        <v>16</v>
      </c>
      <c r="G174" s="72">
        <f t="shared" si="53"/>
        <v>26</v>
      </c>
      <c r="H174" s="72" t="str">
        <f t="shared" si="50"/>
        <v>6|16</v>
      </c>
    </row>
    <row r="175" spans="1:8" x14ac:dyDescent="0.25">
      <c r="A175" s="73">
        <f t="shared" si="62"/>
        <v>46196</v>
      </c>
      <c r="B175" s="72">
        <f t="shared" si="63"/>
        <v>3</v>
      </c>
      <c r="C175" s="72" t="str">
        <f t="shared" si="49"/>
        <v>terça-feira</v>
      </c>
      <c r="D175" s="78" t="str">
        <f t="shared" si="46"/>
        <v/>
      </c>
      <c r="E175" s="72" t="str">
        <f t="shared" si="52"/>
        <v>Sim</v>
      </c>
      <c r="F175" s="72">
        <f>IF(E175="Sim", COUNTIFS($E$2:E175, "Sim", $A$2:A175, "&gt;="&amp;DATE(YEAR(A175), MONTH(A175), 1)), "")</f>
        <v>17</v>
      </c>
      <c r="G175" s="72">
        <f t="shared" si="53"/>
        <v>26</v>
      </c>
      <c r="H175" s="72" t="str">
        <f t="shared" si="50"/>
        <v>6|17</v>
      </c>
    </row>
    <row r="176" spans="1:8" x14ac:dyDescent="0.25">
      <c r="A176" s="73">
        <f t="shared" si="62"/>
        <v>46197</v>
      </c>
      <c r="B176" s="72">
        <f t="shared" si="63"/>
        <v>4</v>
      </c>
      <c r="C176" s="72" t="str">
        <f t="shared" si="49"/>
        <v>quarta-feira</v>
      </c>
      <c r="D176" s="78" t="str">
        <f t="shared" si="46"/>
        <v/>
      </c>
      <c r="E176" s="72" t="str">
        <f t="shared" si="52"/>
        <v>Sim</v>
      </c>
      <c r="F176" s="72">
        <f>IF(E176="Sim", COUNTIFS($E$2:E176, "Sim", $A$2:A176, "&gt;="&amp;DATE(YEAR(A176), MONTH(A176), 1)), "")</f>
        <v>18</v>
      </c>
      <c r="G176" s="72">
        <f t="shared" si="53"/>
        <v>26</v>
      </c>
      <c r="H176" s="72" t="str">
        <f t="shared" si="50"/>
        <v>6|18</v>
      </c>
    </row>
    <row r="177" spans="1:8" x14ac:dyDescent="0.25">
      <c r="A177" s="73">
        <f t="shared" si="62"/>
        <v>46198</v>
      </c>
      <c r="B177" s="72">
        <f t="shared" si="63"/>
        <v>5</v>
      </c>
      <c r="C177" s="72" t="str">
        <f t="shared" si="49"/>
        <v>quinta-feira</v>
      </c>
      <c r="D177" s="78" t="str">
        <f t="shared" si="46"/>
        <v/>
      </c>
      <c r="E177" s="72" t="str">
        <f t="shared" si="52"/>
        <v>Sim</v>
      </c>
      <c r="F177" s="72">
        <f>IF(E177="Sim", COUNTIFS($E$2:E177, "Sim", $A$2:A177, "&gt;="&amp;DATE(YEAR(A177), MONTH(A177), 1)), "")</f>
        <v>19</v>
      </c>
      <c r="G177" s="72">
        <f t="shared" si="53"/>
        <v>26</v>
      </c>
      <c r="H177" s="72" t="str">
        <f t="shared" si="50"/>
        <v>6|19</v>
      </c>
    </row>
    <row r="178" spans="1:8" x14ac:dyDescent="0.25">
      <c r="A178" s="73">
        <f t="shared" si="62"/>
        <v>46199</v>
      </c>
      <c r="B178" s="72">
        <f t="shared" si="63"/>
        <v>6</v>
      </c>
      <c r="C178" s="72" t="str">
        <f t="shared" si="49"/>
        <v>sexta-feira</v>
      </c>
      <c r="D178" s="78" t="str">
        <f t="shared" si="46"/>
        <v/>
      </c>
      <c r="E178" s="72" t="str">
        <f t="shared" si="52"/>
        <v>Sim</v>
      </c>
      <c r="F178" s="72">
        <f>IF(E178="Sim", COUNTIFS($E$2:E178, "Sim", $A$2:A178, "&gt;="&amp;DATE(YEAR(A178), MONTH(A178), 1)), "")</f>
        <v>20</v>
      </c>
      <c r="G178" s="72">
        <f t="shared" si="53"/>
        <v>26</v>
      </c>
      <c r="H178" s="72" t="str">
        <f t="shared" si="50"/>
        <v>6|20</v>
      </c>
    </row>
    <row r="179" spans="1:8" x14ac:dyDescent="0.25">
      <c r="A179" s="73">
        <f t="shared" si="62"/>
        <v>46200</v>
      </c>
      <c r="B179" s="72">
        <f t="shared" si="63"/>
        <v>7</v>
      </c>
      <c r="C179" s="72" t="str">
        <f t="shared" si="49"/>
        <v>sábado</v>
      </c>
      <c r="D179" s="78" t="str">
        <f t="shared" si="46"/>
        <v/>
      </c>
      <c r="E179" s="72" t="str">
        <f t="shared" si="52"/>
        <v>Não</v>
      </c>
      <c r="F179" s="72" t="str">
        <f>IF(E179="Sim", COUNTIFS($E$2:E179, "Sim", $A$2:A179, "&gt;="&amp;DATE(YEAR(A179), MONTH(A179), 1)), "")</f>
        <v/>
      </c>
      <c r="G179" s="72">
        <f t="shared" si="53"/>
        <v>26</v>
      </c>
      <c r="H179" s="72" t="str">
        <f t="shared" si="50"/>
        <v/>
      </c>
    </row>
    <row r="180" spans="1:8" x14ac:dyDescent="0.25">
      <c r="A180" s="79">
        <f t="shared" ref="A180:A186" si="64">A179+1</f>
        <v>46201</v>
      </c>
      <c r="B180" s="80">
        <f t="shared" ref="B180:B200" si="65">WEEKDAY(A180,1)</f>
        <v>1</v>
      </c>
      <c r="C180" s="80" t="str">
        <f t="shared" si="49"/>
        <v>domingo</v>
      </c>
      <c r="D180" s="81" t="str">
        <f t="shared" si="46"/>
        <v/>
      </c>
      <c r="E180" s="80" t="str">
        <f t="shared" si="52"/>
        <v>Não</v>
      </c>
      <c r="F180" s="80" t="str">
        <f>IF(E180="Sim", COUNTIFS($E$2:E180, "Sim", $A$2:A180, "&gt;="&amp;DATE(YEAR(A180), MONTH(A180), 1)), "")</f>
        <v/>
      </c>
      <c r="G180" s="80">
        <f t="shared" si="53"/>
        <v>27</v>
      </c>
      <c r="H180" s="80" t="str">
        <f t="shared" si="50"/>
        <v/>
      </c>
    </row>
    <row r="181" spans="1:8" x14ac:dyDescent="0.25">
      <c r="A181" s="79">
        <f t="shared" si="64"/>
        <v>46202</v>
      </c>
      <c r="B181" s="80">
        <f t="shared" si="65"/>
        <v>2</v>
      </c>
      <c r="C181" s="80" t="str">
        <f t="shared" si="49"/>
        <v>segunda-feira</v>
      </c>
      <c r="D181" s="81" t="str">
        <f t="shared" si="46"/>
        <v/>
      </c>
      <c r="E181" s="80" t="str">
        <f t="shared" si="52"/>
        <v>Sim</v>
      </c>
      <c r="F181" s="80">
        <f>IF(E181="Sim", COUNTIFS($E$2:E181, "Sim", $A$2:A181, "&gt;="&amp;DATE(YEAR(A181), MONTH(A181), 1)), "")</f>
        <v>21</v>
      </c>
      <c r="G181" s="80">
        <f t="shared" si="53"/>
        <v>27</v>
      </c>
      <c r="H181" s="80" t="str">
        <f t="shared" si="50"/>
        <v>6|21</v>
      </c>
    </row>
    <row r="182" spans="1:8" x14ac:dyDescent="0.25">
      <c r="A182" s="79">
        <f t="shared" si="64"/>
        <v>46203</v>
      </c>
      <c r="B182" s="80">
        <f t="shared" si="65"/>
        <v>3</v>
      </c>
      <c r="C182" s="80" t="str">
        <f t="shared" si="49"/>
        <v>terça-feira</v>
      </c>
      <c r="D182" s="81" t="str">
        <f t="shared" si="46"/>
        <v/>
      </c>
      <c r="E182" s="80" t="str">
        <f t="shared" si="52"/>
        <v>Sim</v>
      </c>
      <c r="F182" s="80">
        <f>IF(E182="Sim", COUNTIFS($E$2:E182, "Sim", $A$2:A182, "&gt;="&amp;DATE(YEAR(A182), MONTH(A182), 1)), "")</f>
        <v>22</v>
      </c>
      <c r="G182" s="80">
        <f t="shared" si="53"/>
        <v>27</v>
      </c>
      <c r="H182" s="80" t="str">
        <f t="shared" si="50"/>
        <v>6|22</v>
      </c>
    </row>
    <row r="183" spans="1:8" x14ac:dyDescent="0.25">
      <c r="A183" s="79">
        <f t="shared" si="64"/>
        <v>46204</v>
      </c>
      <c r="B183" s="80">
        <f t="shared" si="65"/>
        <v>4</v>
      </c>
      <c r="C183" s="80" t="str">
        <f t="shared" si="49"/>
        <v>quarta-feira</v>
      </c>
      <c r="D183" s="81" t="str">
        <f t="shared" si="46"/>
        <v/>
      </c>
      <c r="E183" s="80" t="str">
        <f t="shared" si="52"/>
        <v>Sim</v>
      </c>
      <c r="F183" s="80">
        <f>IF(E183="Sim", COUNTIFS($E$2:E183, "Sim", $A$2:A183, "&gt;="&amp;DATE(YEAR(A183), MONTH(A183), 1)), "")</f>
        <v>1</v>
      </c>
      <c r="G183" s="80">
        <f t="shared" si="53"/>
        <v>27</v>
      </c>
      <c r="H183" s="80" t="str">
        <f t="shared" si="50"/>
        <v>7|1</v>
      </c>
    </row>
    <row r="184" spans="1:8" x14ac:dyDescent="0.25">
      <c r="A184" s="79">
        <f t="shared" si="64"/>
        <v>46205</v>
      </c>
      <c r="B184" s="80">
        <f t="shared" si="65"/>
        <v>5</v>
      </c>
      <c r="C184" s="80" t="str">
        <f t="shared" si="49"/>
        <v>quinta-feira</v>
      </c>
      <c r="D184" s="81" t="str">
        <f t="shared" si="46"/>
        <v/>
      </c>
      <c r="E184" s="80" t="str">
        <f t="shared" si="52"/>
        <v>Sim</v>
      </c>
      <c r="F184" s="80">
        <f>IF(E184="Sim", COUNTIFS($E$2:E184, "Sim", $A$2:A184, "&gt;="&amp;DATE(YEAR(A184), MONTH(A184), 1)), "")</f>
        <v>2</v>
      </c>
      <c r="G184" s="80">
        <f t="shared" si="53"/>
        <v>27</v>
      </c>
      <c r="H184" s="80" t="str">
        <f t="shared" si="50"/>
        <v>7|2</v>
      </c>
    </row>
    <row r="185" spans="1:8" x14ac:dyDescent="0.25">
      <c r="A185" s="79">
        <f t="shared" si="64"/>
        <v>46206</v>
      </c>
      <c r="B185" s="80">
        <f t="shared" si="65"/>
        <v>6</v>
      </c>
      <c r="C185" s="80" t="str">
        <f t="shared" si="49"/>
        <v>sexta-feira</v>
      </c>
      <c r="D185" s="81" t="str">
        <f t="shared" si="46"/>
        <v/>
      </c>
      <c r="E185" s="80" t="str">
        <f t="shared" si="52"/>
        <v>Sim</v>
      </c>
      <c r="F185" s="80">
        <f>IF(E185="Sim", COUNTIFS($E$2:E185, "Sim", $A$2:A185, "&gt;="&amp;DATE(YEAR(A185), MONTH(A185), 1)), "")</f>
        <v>3</v>
      </c>
      <c r="G185" s="80">
        <f t="shared" si="53"/>
        <v>27</v>
      </c>
      <c r="H185" s="80" t="str">
        <f t="shared" si="50"/>
        <v>7|3</v>
      </c>
    </row>
    <row r="186" spans="1:8" x14ac:dyDescent="0.25">
      <c r="A186" s="79">
        <f t="shared" si="64"/>
        <v>46207</v>
      </c>
      <c r="B186" s="80">
        <f t="shared" si="65"/>
        <v>7</v>
      </c>
      <c r="C186" s="80" t="str">
        <f t="shared" si="49"/>
        <v>sábado</v>
      </c>
      <c r="D186" s="81" t="str">
        <f t="shared" si="46"/>
        <v/>
      </c>
      <c r="E186" s="80" t="str">
        <f t="shared" si="52"/>
        <v>Não</v>
      </c>
      <c r="F186" s="80" t="str">
        <f>IF(E186="Sim", COUNTIFS($E$2:E186, "Sim", $A$2:A186, "&gt;="&amp;DATE(YEAR(A186), MONTH(A186), 1)), "")</f>
        <v/>
      </c>
      <c r="G186" s="80">
        <f t="shared" si="53"/>
        <v>27</v>
      </c>
      <c r="H186" s="80" t="str">
        <f t="shared" si="50"/>
        <v/>
      </c>
    </row>
    <row r="187" spans="1:8" x14ac:dyDescent="0.25">
      <c r="A187" s="73">
        <f t="shared" ref="A187:A193" si="66">A186+1</f>
        <v>46208</v>
      </c>
      <c r="B187" s="72">
        <f t="shared" ref="B187:B193" si="67">WEEKDAY(A187,1)</f>
        <v>1</v>
      </c>
      <c r="C187" s="72" t="str">
        <f t="shared" si="49"/>
        <v>domingo</v>
      </c>
      <c r="D187" s="78" t="str">
        <f t="shared" si="46"/>
        <v/>
      </c>
      <c r="E187" s="72" t="str">
        <f t="shared" si="52"/>
        <v>Não</v>
      </c>
      <c r="F187" s="72" t="str">
        <f>IF(E187="Sim", COUNTIFS($E$2:E187, "Sim", $A$2:A187, "&gt;="&amp;DATE(YEAR(A187), MONTH(A187), 1)), "")</f>
        <v/>
      </c>
      <c r="G187" s="72">
        <f t="shared" si="53"/>
        <v>28</v>
      </c>
      <c r="H187" s="72" t="str">
        <f t="shared" si="50"/>
        <v/>
      </c>
    </row>
    <row r="188" spans="1:8" x14ac:dyDescent="0.25">
      <c r="A188" s="73">
        <f t="shared" si="66"/>
        <v>46209</v>
      </c>
      <c r="B188" s="72">
        <f t="shared" si="67"/>
        <v>2</v>
      </c>
      <c r="C188" s="72" t="str">
        <f t="shared" si="49"/>
        <v>segunda-feira</v>
      </c>
      <c r="D188" s="78" t="str">
        <f t="shared" si="46"/>
        <v/>
      </c>
      <c r="E188" s="72" t="str">
        <f t="shared" si="52"/>
        <v>Sim</v>
      </c>
      <c r="F188" s="72">
        <f>IF(E188="Sim", COUNTIFS($E$2:E188, "Sim", $A$2:A188, "&gt;="&amp;DATE(YEAR(A188), MONTH(A188), 1)), "")</f>
        <v>4</v>
      </c>
      <c r="G188" s="72">
        <f t="shared" si="53"/>
        <v>28</v>
      </c>
      <c r="H188" s="72" t="str">
        <f t="shared" si="50"/>
        <v>7|4</v>
      </c>
    </row>
    <row r="189" spans="1:8" x14ac:dyDescent="0.25">
      <c r="A189" s="73">
        <f t="shared" si="66"/>
        <v>46210</v>
      </c>
      <c r="B189" s="72">
        <f t="shared" si="67"/>
        <v>3</v>
      </c>
      <c r="C189" s="72" t="str">
        <f t="shared" si="49"/>
        <v>terça-feira</v>
      </c>
      <c r="D189" s="78" t="str">
        <f t="shared" si="46"/>
        <v/>
      </c>
      <c r="E189" s="72" t="str">
        <f t="shared" si="52"/>
        <v>Sim</v>
      </c>
      <c r="F189" s="72">
        <f>IF(E189="Sim", COUNTIFS($E$2:E189, "Sim", $A$2:A189, "&gt;="&amp;DATE(YEAR(A189), MONTH(A189), 1)), "")</f>
        <v>5</v>
      </c>
      <c r="G189" s="72">
        <f t="shared" si="53"/>
        <v>28</v>
      </c>
      <c r="H189" s="72" t="str">
        <f t="shared" si="50"/>
        <v>7|5</v>
      </c>
    </row>
    <row r="190" spans="1:8" x14ac:dyDescent="0.25">
      <c r="A190" s="73">
        <f t="shared" si="66"/>
        <v>46211</v>
      </c>
      <c r="B190" s="72">
        <f t="shared" si="67"/>
        <v>4</v>
      </c>
      <c r="C190" s="72" t="str">
        <f t="shared" si="49"/>
        <v>quarta-feira</v>
      </c>
      <c r="D190" s="78" t="str">
        <f t="shared" si="46"/>
        <v/>
      </c>
      <c r="E190" s="72" t="str">
        <f t="shared" si="52"/>
        <v>Sim</v>
      </c>
      <c r="F190" s="72">
        <f>IF(E190="Sim", COUNTIFS($E$2:E190, "Sim", $A$2:A190, "&gt;="&amp;DATE(YEAR(A190), MONTH(A190), 1)), "")</f>
        <v>6</v>
      </c>
      <c r="G190" s="72">
        <f t="shared" si="53"/>
        <v>28</v>
      </c>
      <c r="H190" s="72" t="str">
        <f t="shared" si="50"/>
        <v>7|6</v>
      </c>
    </row>
    <row r="191" spans="1:8" x14ac:dyDescent="0.25">
      <c r="A191" s="73">
        <f t="shared" si="66"/>
        <v>46212</v>
      </c>
      <c r="B191" s="72">
        <f t="shared" si="67"/>
        <v>5</v>
      </c>
      <c r="C191" s="72" t="str">
        <f t="shared" si="49"/>
        <v>quinta-feira</v>
      </c>
      <c r="D191" s="78" t="str">
        <f t="shared" si="46"/>
        <v/>
      </c>
      <c r="E191" s="72" t="str">
        <f t="shared" si="52"/>
        <v>Sim</v>
      </c>
      <c r="F191" s="72">
        <f>IF(E191="Sim", COUNTIFS($E$2:E191, "Sim", $A$2:A191, "&gt;="&amp;DATE(YEAR(A191), MONTH(A191), 1)), "")</f>
        <v>7</v>
      </c>
      <c r="G191" s="72">
        <f t="shared" si="53"/>
        <v>28</v>
      </c>
      <c r="H191" s="72" t="str">
        <f t="shared" si="50"/>
        <v>7|7</v>
      </c>
    </row>
    <row r="192" spans="1:8" x14ac:dyDescent="0.25">
      <c r="A192" s="73">
        <f t="shared" si="66"/>
        <v>46213</v>
      </c>
      <c r="B192" s="72">
        <f t="shared" si="67"/>
        <v>6</v>
      </c>
      <c r="C192" s="72" t="str">
        <f t="shared" si="49"/>
        <v>sexta-feira</v>
      </c>
      <c r="D192" s="78" t="str">
        <f t="shared" si="46"/>
        <v/>
      </c>
      <c r="E192" s="72" t="str">
        <f t="shared" si="52"/>
        <v>Sim</v>
      </c>
      <c r="F192" s="72">
        <f>IF(E192="Sim", COUNTIFS($E$2:E192, "Sim", $A$2:A192, "&gt;="&amp;DATE(YEAR(A192), MONTH(A192), 1)), "")</f>
        <v>8</v>
      </c>
      <c r="G192" s="72">
        <f t="shared" si="53"/>
        <v>28</v>
      </c>
      <c r="H192" s="72" t="str">
        <f t="shared" si="50"/>
        <v>7|8</v>
      </c>
    </row>
    <row r="193" spans="1:8" x14ac:dyDescent="0.25">
      <c r="A193" s="73">
        <f t="shared" si="66"/>
        <v>46214</v>
      </c>
      <c r="B193" s="72">
        <f t="shared" si="67"/>
        <v>7</v>
      </c>
      <c r="C193" s="72" t="str">
        <f t="shared" si="49"/>
        <v>sábado</v>
      </c>
      <c r="D193" s="78" t="str">
        <f t="shared" si="46"/>
        <v/>
      </c>
      <c r="E193" s="72" t="str">
        <f t="shared" si="52"/>
        <v>Não</v>
      </c>
      <c r="F193" s="72" t="str">
        <f>IF(E193="Sim", COUNTIFS($E$2:E193, "Sim", $A$2:A193, "&gt;="&amp;DATE(YEAR(A193), MONTH(A193), 1)), "")</f>
        <v/>
      </c>
      <c r="G193" s="72">
        <f t="shared" si="53"/>
        <v>28</v>
      </c>
      <c r="H193" s="72" t="str">
        <f t="shared" si="50"/>
        <v/>
      </c>
    </row>
    <row r="194" spans="1:8" x14ac:dyDescent="0.25">
      <c r="A194" s="79">
        <f t="shared" ref="A194:A200" si="68">A193+1</f>
        <v>46215</v>
      </c>
      <c r="B194" s="80">
        <f t="shared" si="65"/>
        <v>1</v>
      </c>
      <c r="C194" s="80" t="str">
        <f t="shared" si="49"/>
        <v>domingo</v>
      </c>
      <c r="D194" s="81" t="str">
        <f t="shared" ref="D194:D257" si="69">IF(_xlfn.XLOOKUP(A194,J:J,J:J,0,0)=A194,"Sim","")</f>
        <v/>
      </c>
      <c r="E194" s="80" t="str">
        <f t="shared" si="52"/>
        <v>Não</v>
      </c>
      <c r="F194" s="80" t="str">
        <f>IF(E194="Sim", COUNTIFS($E$2:E194, "Sim", $A$2:A194, "&gt;="&amp;DATE(YEAR(A194), MONTH(A194), 1)), "")</f>
        <v/>
      </c>
      <c r="G194" s="80">
        <f t="shared" si="53"/>
        <v>29</v>
      </c>
      <c r="H194" s="80" t="str">
        <f t="shared" si="50"/>
        <v/>
      </c>
    </row>
    <row r="195" spans="1:8" x14ac:dyDescent="0.25">
      <c r="A195" s="79">
        <f t="shared" si="68"/>
        <v>46216</v>
      </c>
      <c r="B195" s="80">
        <f t="shared" si="65"/>
        <v>2</v>
      </c>
      <c r="C195" s="80" t="str">
        <f t="shared" ref="C195:C258" si="70">TEXT(B195,"ddddd")</f>
        <v>segunda-feira</v>
      </c>
      <c r="D195" s="81" t="str">
        <f t="shared" si="69"/>
        <v/>
      </c>
      <c r="E195" s="80" t="str">
        <f t="shared" si="52"/>
        <v>Sim</v>
      </c>
      <c r="F195" s="80">
        <f>IF(E195="Sim", COUNTIFS($E$2:E195, "Sim", $A$2:A195, "&gt;="&amp;DATE(YEAR(A195), MONTH(A195), 1)), "")</f>
        <v>9</v>
      </c>
      <c r="G195" s="80">
        <f t="shared" si="53"/>
        <v>29</v>
      </c>
      <c r="H195" s="80" t="str">
        <f t="shared" ref="H195:H258" si="71">IF(F195="","",MONTH(A195)&amp;"|"&amp;F195)</f>
        <v>7|9</v>
      </c>
    </row>
    <row r="196" spans="1:8" x14ac:dyDescent="0.25">
      <c r="A196" s="79">
        <f t="shared" si="68"/>
        <v>46217</v>
      </c>
      <c r="B196" s="80">
        <f t="shared" si="65"/>
        <v>3</v>
      </c>
      <c r="C196" s="80" t="str">
        <f t="shared" si="70"/>
        <v>terça-feira</v>
      </c>
      <c r="D196" s="81" t="str">
        <f t="shared" si="69"/>
        <v/>
      </c>
      <c r="E196" s="80" t="str">
        <f t="shared" si="52"/>
        <v>Sim</v>
      </c>
      <c r="F196" s="80">
        <f>IF(E196="Sim", COUNTIFS($E$2:E196, "Sim", $A$2:A196, "&gt;="&amp;DATE(YEAR(A196), MONTH(A196), 1)), "")</f>
        <v>10</v>
      </c>
      <c r="G196" s="80">
        <f t="shared" si="53"/>
        <v>29</v>
      </c>
      <c r="H196" s="80" t="str">
        <f t="shared" si="71"/>
        <v>7|10</v>
      </c>
    </row>
    <row r="197" spans="1:8" x14ac:dyDescent="0.25">
      <c r="A197" s="79">
        <f t="shared" si="68"/>
        <v>46218</v>
      </c>
      <c r="B197" s="80">
        <f t="shared" si="65"/>
        <v>4</v>
      </c>
      <c r="C197" s="80" t="str">
        <f t="shared" si="70"/>
        <v>quarta-feira</v>
      </c>
      <c r="D197" s="81" t="str">
        <f t="shared" si="69"/>
        <v/>
      </c>
      <c r="E197" s="80" t="str">
        <f t="shared" si="52"/>
        <v>Sim</v>
      </c>
      <c r="F197" s="80">
        <f>IF(E197="Sim", COUNTIFS($E$2:E197, "Sim", $A$2:A197, "&gt;="&amp;DATE(YEAR(A197), MONTH(A197), 1)), "")</f>
        <v>11</v>
      </c>
      <c r="G197" s="80">
        <f t="shared" si="53"/>
        <v>29</v>
      </c>
      <c r="H197" s="80" t="str">
        <f t="shared" si="71"/>
        <v>7|11</v>
      </c>
    </row>
    <row r="198" spans="1:8" x14ac:dyDescent="0.25">
      <c r="A198" s="79">
        <f t="shared" si="68"/>
        <v>46219</v>
      </c>
      <c r="B198" s="80">
        <f t="shared" si="65"/>
        <v>5</v>
      </c>
      <c r="C198" s="80" t="str">
        <f t="shared" si="70"/>
        <v>quinta-feira</v>
      </c>
      <c r="D198" s="81" t="str">
        <f t="shared" si="69"/>
        <v/>
      </c>
      <c r="E198" s="80" t="str">
        <f t="shared" si="52"/>
        <v>Sim</v>
      </c>
      <c r="F198" s="80">
        <f>IF(E198="Sim", COUNTIFS($E$2:E198, "Sim", $A$2:A198, "&gt;="&amp;DATE(YEAR(A198), MONTH(A198), 1)), "")</f>
        <v>12</v>
      </c>
      <c r="G198" s="80">
        <f t="shared" si="53"/>
        <v>29</v>
      </c>
      <c r="H198" s="80" t="str">
        <f t="shared" si="71"/>
        <v>7|12</v>
      </c>
    </row>
    <row r="199" spans="1:8" x14ac:dyDescent="0.25">
      <c r="A199" s="79">
        <f t="shared" si="68"/>
        <v>46220</v>
      </c>
      <c r="B199" s="80">
        <f t="shared" si="65"/>
        <v>6</v>
      </c>
      <c r="C199" s="80" t="str">
        <f t="shared" si="70"/>
        <v>sexta-feira</v>
      </c>
      <c r="D199" s="81" t="str">
        <f t="shared" si="69"/>
        <v/>
      </c>
      <c r="E199" s="80" t="str">
        <f t="shared" si="52"/>
        <v>Sim</v>
      </c>
      <c r="F199" s="80">
        <f>IF(E199="Sim", COUNTIFS($E$2:E199, "Sim", $A$2:A199, "&gt;="&amp;DATE(YEAR(A199), MONTH(A199), 1)), "")</f>
        <v>13</v>
      </c>
      <c r="G199" s="80">
        <f t="shared" si="53"/>
        <v>29</v>
      </c>
      <c r="H199" s="80" t="str">
        <f t="shared" si="71"/>
        <v>7|13</v>
      </c>
    </row>
    <row r="200" spans="1:8" x14ac:dyDescent="0.25">
      <c r="A200" s="79">
        <f t="shared" si="68"/>
        <v>46221</v>
      </c>
      <c r="B200" s="80">
        <f t="shared" si="65"/>
        <v>7</v>
      </c>
      <c r="C200" s="80" t="str">
        <f t="shared" si="70"/>
        <v>sábado</v>
      </c>
      <c r="D200" s="81" t="str">
        <f t="shared" si="69"/>
        <v/>
      </c>
      <c r="E200" s="80" t="str">
        <f t="shared" si="52"/>
        <v>Não</v>
      </c>
      <c r="F200" s="80" t="str">
        <f>IF(E200="Sim", COUNTIFS($E$2:E200, "Sim", $A$2:A200, "&gt;="&amp;DATE(YEAR(A200), MONTH(A200), 1)), "")</f>
        <v/>
      </c>
      <c r="G200" s="80">
        <f t="shared" si="53"/>
        <v>29</v>
      </c>
      <c r="H200" s="80" t="str">
        <f t="shared" si="71"/>
        <v/>
      </c>
    </row>
    <row r="201" spans="1:8" x14ac:dyDescent="0.25">
      <c r="A201" s="73">
        <f t="shared" ref="A201:A207" si="72">A200+1</f>
        <v>46222</v>
      </c>
      <c r="B201" s="72">
        <f t="shared" ref="B201:B207" si="73">WEEKDAY(A201,1)</f>
        <v>1</v>
      </c>
      <c r="C201" s="72" t="str">
        <f t="shared" si="70"/>
        <v>domingo</v>
      </c>
      <c r="D201" s="78" t="str">
        <f t="shared" si="69"/>
        <v/>
      </c>
      <c r="E201" s="72" t="str">
        <f t="shared" si="52"/>
        <v>Não</v>
      </c>
      <c r="F201" s="72" t="str">
        <f>IF(E201="Sim", COUNTIFS($E$2:E201, "Sim", $A$2:A201, "&gt;="&amp;DATE(YEAR(A201), MONTH(A201), 1)), "")</f>
        <v/>
      </c>
      <c r="G201" s="72">
        <f t="shared" si="53"/>
        <v>30</v>
      </c>
      <c r="H201" s="72" t="str">
        <f t="shared" si="71"/>
        <v/>
      </c>
    </row>
    <row r="202" spans="1:8" x14ac:dyDescent="0.25">
      <c r="A202" s="73">
        <f t="shared" si="72"/>
        <v>46223</v>
      </c>
      <c r="B202" s="72">
        <f t="shared" si="73"/>
        <v>2</v>
      </c>
      <c r="C202" s="72" t="str">
        <f t="shared" si="70"/>
        <v>segunda-feira</v>
      </c>
      <c r="D202" s="78" t="str">
        <f t="shared" si="69"/>
        <v/>
      </c>
      <c r="E202" s="72" t="str">
        <f t="shared" si="52"/>
        <v>Sim</v>
      </c>
      <c r="F202" s="72">
        <f>IF(E202="Sim", COUNTIFS($E$2:E202, "Sim", $A$2:A202, "&gt;="&amp;DATE(YEAR(A202), MONTH(A202), 1)), "")</f>
        <v>14</v>
      </c>
      <c r="G202" s="72">
        <f t="shared" si="53"/>
        <v>30</v>
      </c>
      <c r="H202" s="72" t="str">
        <f t="shared" si="71"/>
        <v>7|14</v>
      </c>
    </row>
    <row r="203" spans="1:8" x14ac:dyDescent="0.25">
      <c r="A203" s="73">
        <f t="shared" si="72"/>
        <v>46224</v>
      </c>
      <c r="B203" s="72">
        <f t="shared" si="73"/>
        <v>3</v>
      </c>
      <c r="C203" s="72" t="str">
        <f t="shared" si="70"/>
        <v>terça-feira</v>
      </c>
      <c r="D203" s="78" t="str">
        <f t="shared" si="69"/>
        <v/>
      </c>
      <c r="E203" s="72" t="str">
        <f t="shared" ref="E203:E266" si="74">IF(OR(B203=1,B203=7,D203&lt;&gt;""),"Não","Sim")</f>
        <v>Sim</v>
      </c>
      <c r="F203" s="72">
        <f>IF(E203="Sim", COUNTIFS($E$2:E203, "Sim", $A$2:A203, "&gt;="&amp;DATE(YEAR(A203), MONTH(A203), 1)), "")</f>
        <v>15</v>
      </c>
      <c r="G203" s="72">
        <f t="shared" ref="G203:G266" si="75">WEEKNUM(A203)</f>
        <v>30</v>
      </c>
      <c r="H203" s="72" t="str">
        <f t="shared" si="71"/>
        <v>7|15</v>
      </c>
    </row>
    <row r="204" spans="1:8" x14ac:dyDescent="0.25">
      <c r="A204" s="73">
        <f t="shared" si="72"/>
        <v>46225</v>
      </c>
      <c r="B204" s="72">
        <f t="shared" si="73"/>
        <v>4</v>
      </c>
      <c r="C204" s="72" t="str">
        <f t="shared" si="70"/>
        <v>quarta-feira</v>
      </c>
      <c r="D204" s="78" t="str">
        <f t="shared" si="69"/>
        <v/>
      </c>
      <c r="E204" s="72" t="str">
        <f t="shared" si="74"/>
        <v>Sim</v>
      </c>
      <c r="F204" s="72">
        <f>IF(E204="Sim", COUNTIFS($E$2:E204, "Sim", $A$2:A204, "&gt;="&amp;DATE(YEAR(A204), MONTH(A204), 1)), "")</f>
        <v>16</v>
      </c>
      <c r="G204" s="72">
        <f t="shared" si="75"/>
        <v>30</v>
      </c>
      <c r="H204" s="72" t="str">
        <f t="shared" si="71"/>
        <v>7|16</v>
      </c>
    </row>
    <row r="205" spans="1:8" x14ac:dyDescent="0.25">
      <c r="A205" s="73">
        <f t="shared" si="72"/>
        <v>46226</v>
      </c>
      <c r="B205" s="72">
        <f t="shared" si="73"/>
        <v>5</v>
      </c>
      <c r="C205" s="72" t="str">
        <f t="shared" si="70"/>
        <v>quinta-feira</v>
      </c>
      <c r="D205" s="78" t="str">
        <f t="shared" si="69"/>
        <v/>
      </c>
      <c r="E205" s="72" t="str">
        <f t="shared" si="74"/>
        <v>Sim</v>
      </c>
      <c r="F205" s="72">
        <f>IF(E205="Sim", COUNTIFS($E$2:E205, "Sim", $A$2:A205, "&gt;="&amp;DATE(YEAR(A205), MONTH(A205), 1)), "")</f>
        <v>17</v>
      </c>
      <c r="G205" s="72">
        <f t="shared" si="75"/>
        <v>30</v>
      </c>
      <c r="H205" s="72" t="str">
        <f t="shared" si="71"/>
        <v>7|17</v>
      </c>
    </row>
    <row r="206" spans="1:8" x14ac:dyDescent="0.25">
      <c r="A206" s="73">
        <f t="shared" si="72"/>
        <v>46227</v>
      </c>
      <c r="B206" s="72">
        <f t="shared" si="73"/>
        <v>6</v>
      </c>
      <c r="C206" s="72" t="str">
        <f t="shared" si="70"/>
        <v>sexta-feira</v>
      </c>
      <c r="D206" s="78" t="str">
        <f t="shared" si="69"/>
        <v/>
      </c>
      <c r="E206" s="72" t="str">
        <f t="shared" si="74"/>
        <v>Sim</v>
      </c>
      <c r="F206" s="72">
        <f>IF(E206="Sim", COUNTIFS($E$2:E206, "Sim", $A$2:A206, "&gt;="&amp;DATE(YEAR(A206), MONTH(A206), 1)), "")</f>
        <v>18</v>
      </c>
      <c r="G206" s="72">
        <f t="shared" si="75"/>
        <v>30</v>
      </c>
      <c r="H206" s="72" t="str">
        <f t="shared" si="71"/>
        <v>7|18</v>
      </c>
    </row>
    <row r="207" spans="1:8" x14ac:dyDescent="0.25">
      <c r="A207" s="73">
        <f t="shared" si="72"/>
        <v>46228</v>
      </c>
      <c r="B207" s="72">
        <f t="shared" si="73"/>
        <v>7</v>
      </c>
      <c r="C207" s="72" t="str">
        <f t="shared" si="70"/>
        <v>sábado</v>
      </c>
      <c r="D207" s="78" t="str">
        <f t="shared" si="69"/>
        <v/>
      </c>
      <c r="E207" s="72" t="str">
        <f t="shared" si="74"/>
        <v>Não</v>
      </c>
      <c r="F207" s="72" t="str">
        <f>IF(E207="Sim", COUNTIFS($E$2:E207, "Sim", $A$2:A207, "&gt;="&amp;DATE(YEAR(A207), MONTH(A207), 1)), "")</f>
        <v/>
      </c>
      <c r="G207" s="72">
        <f t="shared" si="75"/>
        <v>30</v>
      </c>
      <c r="H207" s="72" t="str">
        <f t="shared" si="71"/>
        <v/>
      </c>
    </row>
    <row r="208" spans="1:8" x14ac:dyDescent="0.25">
      <c r="A208" s="79">
        <f t="shared" ref="A208:A214" si="76">A207+1</f>
        <v>46229</v>
      </c>
      <c r="B208" s="80">
        <f t="shared" ref="B208:B214" si="77">WEEKDAY(A208,1)</f>
        <v>1</v>
      </c>
      <c r="C208" s="80" t="str">
        <f t="shared" si="70"/>
        <v>domingo</v>
      </c>
      <c r="D208" s="81" t="str">
        <f t="shared" si="69"/>
        <v>Sim</v>
      </c>
      <c r="E208" s="80" t="str">
        <f t="shared" si="74"/>
        <v>Não</v>
      </c>
      <c r="F208" s="80" t="str">
        <f>IF(E208="Sim", COUNTIFS($E$2:E208, "Sim", $A$2:A208, "&gt;="&amp;DATE(YEAR(A208), MONTH(A208), 1)), "")</f>
        <v/>
      </c>
      <c r="G208" s="80">
        <f t="shared" si="75"/>
        <v>31</v>
      </c>
      <c r="H208" s="80" t="str">
        <f t="shared" si="71"/>
        <v/>
      </c>
    </row>
    <row r="209" spans="1:8" x14ac:dyDescent="0.25">
      <c r="A209" s="79">
        <f t="shared" si="76"/>
        <v>46230</v>
      </c>
      <c r="B209" s="80">
        <f t="shared" si="77"/>
        <v>2</v>
      </c>
      <c r="C209" s="80" t="str">
        <f t="shared" si="70"/>
        <v>segunda-feira</v>
      </c>
      <c r="D209" s="81" t="str">
        <f t="shared" si="69"/>
        <v/>
      </c>
      <c r="E209" s="80" t="str">
        <f t="shared" si="74"/>
        <v>Sim</v>
      </c>
      <c r="F209" s="80">
        <f>IF(E209="Sim", COUNTIFS($E$2:E209, "Sim", $A$2:A209, "&gt;="&amp;DATE(YEAR(A209), MONTH(A209), 1)), "")</f>
        <v>19</v>
      </c>
      <c r="G209" s="80">
        <f t="shared" si="75"/>
        <v>31</v>
      </c>
      <c r="H209" s="80" t="str">
        <f t="shared" si="71"/>
        <v>7|19</v>
      </c>
    </row>
    <row r="210" spans="1:8" x14ac:dyDescent="0.25">
      <c r="A210" s="79">
        <f t="shared" si="76"/>
        <v>46231</v>
      </c>
      <c r="B210" s="80">
        <f t="shared" si="77"/>
        <v>3</v>
      </c>
      <c r="C210" s="80" t="str">
        <f t="shared" si="70"/>
        <v>terça-feira</v>
      </c>
      <c r="D210" s="81" t="str">
        <f t="shared" si="69"/>
        <v/>
      </c>
      <c r="E210" s="80" t="str">
        <f t="shared" si="74"/>
        <v>Sim</v>
      </c>
      <c r="F210" s="80">
        <f>IF(E210="Sim", COUNTIFS($E$2:E210, "Sim", $A$2:A210, "&gt;="&amp;DATE(YEAR(A210), MONTH(A210), 1)), "")</f>
        <v>20</v>
      </c>
      <c r="G210" s="80">
        <f t="shared" si="75"/>
        <v>31</v>
      </c>
      <c r="H210" s="80" t="str">
        <f t="shared" si="71"/>
        <v>7|20</v>
      </c>
    </row>
    <row r="211" spans="1:8" x14ac:dyDescent="0.25">
      <c r="A211" s="79">
        <f t="shared" si="76"/>
        <v>46232</v>
      </c>
      <c r="B211" s="80">
        <f t="shared" si="77"/>
        <v>4</v>
      </c>
      <c r="C211" s="80" t="str">
        <f t="shared" si="70"/>
        <v>quarta-feira</v>
      </c>
      <c r="D211" s="81" t="str">
        <f t="shared" si="69"/>
        <v/>
      </c>
      <c r="E211" s="80" t="str">
        <f t="shared" si="74"/>
        <v>Sim</v>
      </c>
      <c r="F211" s="80">
        <f>IF(E211="Sim", COUNTIFS($E$2:E211, "Sim", $A$2:A211, "&gt;="&amp;DATE(YEAR(A211), MONTH(A211), 1)), "")</f>
        <v>21</v>
      </c>
      <c r="G211" s="80">
        <f t="shared" si="75"/>
        <v>31</v>
      </c>
      <c r="H211" s="80" t="str">
        <f t="shared" si="71"/>
        <v>7|21</v>
      </c>
    </row>
    <row r="212" spans="1:8" x14ac:dyDescent="0.25">
      <c r="A212" s="79">
        <f t="shared" si="76"/>
        <v>46233</v>
      </c>
      <c r="B212" s="80">
        <f t="shared" si="77"/>
        <v>5</v>
      </c>
      <c r="C212" s="80" t="str">
        <f t="shared" si="70"/>
        <v>quinta-feira</v>
      </c>
      <c r="D212" s="81" t="str">
        <f t="shared" si="69"/>
        <v/>
      </c>
      <c r="E212" s="80" t="str">
        <f t="shared" si="74"/>
        <v>Sim</v>
      </c>
      <c r="F212" s="80">
        <f>IF(E212="Sim", COUNTIFS($E$2:E212, "Sim", $A$2:A212, "&gt;="&amp;DATE(YEAR(A212), MONTH(A212), 1)), "")</f>
        <v>22</v>
      </c>
      <c r="G212" s="80">
        <f t="shared" si="75"/>
        <v>31</v>
      </c>
      <c r="H212" s="80" t="str">
        <f t="shared" si="71"/>
        <v>7|22</v>
      </c>
    </row>
    <row r="213" spans="1:8" x14ac:dyDescent="0.25">
      <c r="A213" s="79">
        <f t="shared" si="76"/>
        <v>46234</v>
      </c>
      <c r="B213" s="80">
        <f t="shared" si="77"/>
        <v>6</v>
      </c>
      <c r="C213" s="80" t="str">
        <f t="shared" si="70"/>
        <v>sexta-feira</v>
      </c>
      <c r="D213" s="81" t="str">
        <f t="shared" si="69"/>
        <v/>
      </c>
      <c r="E213" s="80" t="str">
        <f t="shared" si="74"/>
        <v>Sim</v>
      </c>
      <c r="F213" s="80">
        <f>IF(E213="Sim", COUNTIFS($E$2:E213, "Sim", $A$2:A213, "&gt;="&amp;DATE(YEAR(A213), MONTH(A213), 1)), "")</f>
        <v>23</v>
      </c>
      <c r="G213" s="80">
        <f t="shared" si="75"/>
        <v>31</v>
      </c>
      <c r="H213" s="80" t="str">
        <f t="shared" si="71"/>
        <v>7|23</v>
      </c>
    </row>
    <row r="214" spans="1:8" x14ac:dyDescent="0.25">
      <c r="A214" s="79">
        <f t="shared" si="76"/>
        <v>46235</v>
      </c>
      <c r="B214" s="80">
        <f t="shared" si="77"/>
        <v>7</v>
      </c>
      <c r="C214" s="80" t="str">
        <f t="shared" si="70"/>
        <v>sábado</v>
      </c>
      <c r="D214" s="81" t="str">
        <f t="shared" si="69"/>
        <v/>
      </c>
      <c r="E214" s="80" t="str">
        <f t="shared" si="74"/>
        <v>Não</v>
      </c>
      <c r="F214" s="80" t="str">
        <f>IF(E214="Sim", COUNTIFS($E$2:E214, "Sim", $A$2:A214, "&gt;="&amp;DATE(YEAR(A214), MONTH(A214), 1)), "")</f>
        <v/>
      </c>
      <c r="G214" s="80">
        <f t="shared" si="75"/>
        <v>31</v>
      </c>
      <c r="H214" s="80" t="str">
        <f t="shared" si="71"/>
        <v/>
      </c>
    </row>
    <row r="215" spans="1:8" x14ac:dyDescent="0.25">
      <c r="A215" s="73">
        <f t="shared" ref="A215:A221" si="78">A214+1</f>
        <v>46236</v>
      </c>
      <c r="B215" s="72">
        <f t="shared" ref="B215:B221" si="79">WEEKDAY(A215,1)</f>
        <v>1</v>
      </c>
      <c r="C215" s="72" t="str">
        <f t="shared" si="70"/>
        <v>domingo</v>
      </c>
      <c r="D215" s="78" t="str">
        <f t="shared" si="69"/>
        <v/>
      </c>
      <c r="E215" s="72" t="str">
        <f t="shared" si="74"/>
        <v>Não</v>
      </c>
      <c r="F215" s="72" t="str">
        <f>IF(E215="Sim", COUNTIFS($E$2:E215, "Sim", $A$2:A215, "&gt;="&amp;DATE(YEAR(A215), MONTH(A215), 1)), "")</f>
        <v/>
      </c>
      <c r="G215" s="72">
        <f t="shared" si="75"/>
        <v>32</v>
      </c>
      <c r="H215" s="72" t="str">
        <f t="shared" si="71"/>
        <v/>
      </c>
    </row>
    <row r="216" spans="1:8" x14ac:dyDescent="0.25">
      <c r="A216" s="73">
        <f t="shared" si="78"/>
        <v>46237</v>
      </c>
      <c r="B216" s="72">
        <f t="shared" si="79"/>
        <v>2</v>
      </c>
      <c r="C216" s="72" t="str">
        <f t="shared" si="70"/>
        <v>segunda-feira</v>
      </c>
      <c r="D216" s="78" t="str">
        <f t="shared" si="69"/>
        <v/>
      </c>
      <c r="E216" s="72" t="str">
        <f t="shared" si="74"/>
        <v>Sim</v>
      </c>
      <c r="F216" s="72">
        <f>IF(E216="Sim", COUNTIFS($E$2:E216, "Sim", $A$2:A216, "&gt;="&amp;DATE(YEAR(A216), MONTH(A216), 1)), "")</f>
        <v>1</v>
      </c>
      <c r="G216" s="72">
        <f t="shared" si="75"/>
        <v>32</v>
      </c>
      <c r="H216" s="72" t="str">
        <f t="shared" si="71"/>
        <v>8|1</v>
      </c>
    </row>
    <row r="217" spans="1:8" x14ac:dyDescent="0.25">
      <c r="A217" s="73">
        <f t="shared" si="78"/>
        <v>46238</v>
      </c>
      <c r="B217" s="72">
        <f t="shared" si="79"/>
        <v>3</v>
      </c>
      <c r="C217" s="72" t="str">
        <f t="shared" si="70"/>
        <v>terça-feira</v>
      </c>
      <c r="D217" s="78" t="str">
        <f t="shared" si="69"/>
        <v/>
      </c>
      <c r="E217" s="72" t="str">
        <f t="shared" si="74"/>
        <v>Sim</v>
      </c>
      <c r="F217" s="72">
        <f>IF(E217="Sim", COUNTIFS($E$2:E217, "Sim", $A$2:A217, "&gt;="&amp;DATE(YEAR(A217), MONTH(A217), 1)), "")</f>
        <v>2</v>
      </c>
      <c r="G217" s="72">
        <f t="shared" si="75"/>
        <v>32</v>
      </c>
      <c r="H217" s="72" t="str">
        <f t="shared" si="71"/>
        <v>8|2</v>
      </c>
    </row>
    <row r="218" spans="1:8" x14ac:dyDescent="0.25">
      <c r="A218" s="73">
        <f t="shared" si="78"/>
        <v>46239</v>
      </c>
      <c r="B218" s="72">
        <f t="shared" si="79"/>
        <v>4</v>
      </c>
      <c r="C218" s="72" t="str">
        <f t="shared" si="70"/>
        <v>quarta-feira</v>
      </c>
      <c r="D218" s="78" t="str">
        <f t="shared" si="69"/>
        <v/>
      </c>
      <c r="E218" s="72" t="str">
        <f t="shared" si="74"/>
        <v>Sim</v>
      </c>
      <c r="F218" s="72">
        <f>IF(E218="Sim", COUNTIFS($E$2:E218, "Sim", $A$2:A218, "&gt;="&amp;DATE(YEAR(A218), MONTH(A218), 1)), "")</f>
        <v>3</v>
      </c>
      <c r="G218" s="72">
        <f t="shared" si="75"/>
        <v>32</v>
      </c>
      <c r="H218" s="72" t="str">
        <f t="shared" si="71"/>
        <v>8|3</v>
      </c>
    </row>
    <row r="219" spans="1:8" x14ac:dyDescent="0.25">
      <c r="A219" s="73">
        <f t="shared" si="78"/>
        <v>46240</v>
      </c>
      <c r="B219" s="72">
        <f t="shared" si="79"/>
        <v>5</v>
      </c>
      <c r="C219" s="72" t="str">
        <f t="shared" si="70"/>
        <v>quinta-feira</v>
      </c>
      <c r="D219" s="78" t="str">
        <f t="shared" si="69"/>
        <v/>
      </c>
      <c r="E219" s="72" t="str">
        <f t="shared" si="74"/>
        <v>Sim</v>
      </c>
      <c r="F219" s="72">
        <f>IF(E219="Sim", COUNTIFS($E$2:E219, "Sim", $A$2:A219, "&gt;="&amp;DATE(YEAR(A219), MONTH(A219), 1)), "")</f>
        <v>4</v>
      </c>
      <c r="G219" s="72">
        <f t="shared" si="75"/>
        <v>32</v>
      </c>
      <c r="H219" s="72" t="str">
        <f t="shared" si="71"/>
        <v>8|4</v>
      </c>
    </row>
    <row r="220" spans="1:8" x14ac:dyDescent="0.25">
      <c r="A220" s="73">
        <f t="shared" si="78"/>
        <v>46241</v>
      </c>
      <c r="B220" s="72">
        <f t="shared" si="79"/>
        <v>6</v>
      </c>
      <c r="C220" s="72" t="str">
        <f t="shared" si="70"/>
        <v>sexta-feira</v>
      </c>
      <c r="D220" s="78" t="str">
        <f t="shared" si="69"/>
        <v/>
      </c>
      <c r="E220" s="72" t="str">
        <f t="shared" si="74"/>
        <v>Sim</v>
      </c>
      <c r="F220" s="72">
        <f>IF(E220="Sim", COUNTIFS($E$2:E220, "Sim", $A$2:A220, "&gt;="&amp;DATE(YEAR(A220), MONTH(A220), 1)), "")</f>
        <v>5</v>
      </c>
      <c r="G220" s="72">
        <f t="shared" si="75"/>
        <v>32</v>
      </c>
      <c r="H220" s="72" t="str">
        <f t="shared" si="71"/>
        <v>8|5</v>
      </c>
    </row>
    <row r="221" spans="1:8" x14ac:dyDescent="0.25">
      <c r="A221" s="73">
        <f t="shared" si="78"/>
        <v>46242</v>
      </c>
      <c r="B221" s="72">
        <f t="shared" si="79"/>
        <v>7</v>
      </c>
      <c r="C221" s="72" t="str">
        <f t="shared" si="70"/>
        <v>sábado</v>
      </c>
      <c r="D221" s="78" t="str">
        <f t="shared" si="69"/>
        <v/>
      </c>
      <c r="E221" s="72" t="str">
        <f t="shared" si="74"/>
        <v>Não</v>
      </c>
      <c r="F221" s="72" t="str">
        <f>IF(E221="Sim", COUNTIFS($E$2:E221, "Sim", $A$2:A221, "&gt;="&amp;DATE(YEAR(A221), MONTH(A221), 1)), "")</f>
        <v/>
      </c>
      <c r="G221" s="72">
        <f t="shared" si="75"/>
        <v>32</v>
      </c>
      <c r="H221" s="72" t="str">
        <f t="shared" si="71"/>
        <v/>
      </c>
    </row>
    <row r="222" spans="1:8" x14ac:dyDescent="0.25">
      <c r="A222" s="79">
        <f t="shared" ref="A222:A228" si="80">A221+1</f>
        <v>46243</v>
      </c>
      <c r="B222" s="80">
        <f t="shared" ref="B222:B228" si="81">WEEKDAY(A222,1)</f>
        <v>1</v>
      </c>
      <c r="C222" s="80" t="str">
        <f t="shared" si="70"/>
        <v>domingo</v>
      </c>
      <c r="D222" s="81" t="str">
        <f t="shared" si="69"/>
        <v/>
      </c>
      <c r="E222" s="80" t="str">
        <f t="shared" si="74"/>
        <v>Não</v>
      </c>
      <c r="F222" s="80" t="str">
        <f>IF(E222="Sim", COUNTIFS($E$2:E222, "Sim", $A$2:A222, "&gt;="&amp;DATE(YEAR(A222), MONTH(A222), 1)), "")</f>
        <v/>
      </c>
      <c r="G222" s="80">
        <f t="shared" si="75"/>
        <v>33</v>
      </c>
      <c r="H222" s="80" t="str">
        <f t="shared" si="71"/>
        <v/>
      </c>
    </row>
    <row r="223" spans="1:8" x14ac:dyDescent="0.25">
      <c r="A223" s="79">
        <f t="shared" si="80"/>
        <v>46244</v>
      </c>
      <c r="B223" s="80">
        <f t="shared" si="81"/>
        <v>2</v>
      </c>
      <c r="C223" s="80" t="str">
        <f t="shared" si="70"/>
        <v>segunda-feira</v>
      </c>
      <c r="D223" s="81" t="str">
        <f t="shared" si="69"/>
        <v/>
      </c>
      <c r="E223" s="80" t="str">
        <f t="shared" si="74"/>
        <v>Sim</v>
      </c>
      <c r="F223" s="80">
        <f>IF(E223="Sim", COUNTIFS($E$2:E223, "Sim", $A$2:A223, "&gt;="&amp;DATE(YEAR(A223), MONTH(A223), 1)), "")</f>
        <v>6</v>
      </c>
      <c r="G223" s="80">
        <f t="shared" si="75"/>
        <v>33</v>
      </c>
      <c r="H223" s="80" t="str">
        <f t="shared" si="71"/>
        <v>8|6</v>
      </c>
    </row>
    <row r="224" spans="1:8" x14ac:dyDescent="0.25">
      <c r="A224" s="79">
        <f t="shared" si="80"/>
        <v>46245</v>
      </c>
      <c r="B224" s="80">
        <f t="shared" si="81"/>
        <v>3</v>
      </c>
      <c r="C224" s="80" t="str">
        <f t="shared" si="70"/>
        <v>terça-feira</v>
      </c>
      <c r="D224" s="81" t="str">
        <f t="shared" si="69"/>
        <v/>
      </c>
      <c r="E224" s="80" t="str">
        <f t="shared" si="74"/>
        <v>Sim</v>
      </c>
      <c r="F224" s="80">
        <f>IF(E224="Sim", COUNTIFS($E$2:E224, "Sim", $A$2:A224, "&gt;="&amp;DATE(YEAR(A224), MONTH(A224), 1)), "")</f>
        <v>7</v>
      </c>
      <c r="G224" s="80">
        <f t="shared" si="75"/>
        <v>33</v>
      </c>
      <c r="H224" s="80" t="str">
        <f t="shared" si="71"/>
        <v>8|7</v>
      </c>
    </row>
    <row r="225" spans="1:8" x14ac:dyDescent="0.25">
      <c r="A225" s="79">
        <f t="shared" si="80"/>
        <v>46246</v>
      </c>
      <c r="B225" s="80">
        <f t="shared" si="81"/>
        <v>4</v>
      </c>
      <c r="C225" s="80" t="str">
        <f t="shared" si="70"/>
        <v>quarta-feira</v>
      </c>
      <c r="D225" s="81" t="str">
        <f t="shared" si="69"/>
        <v/>
      </c>
      <c r="E225" s="80" t="str">
        <f t="shared" si="74"/>
        <v>Sim</v>
      </c>
      <c r="F225" s="80">
        <f>IF(E225="Sim", COUNTIFS($E$2:E225, "Sim", $A$2:A225, "&gt;="&amp;DATE(YEAR(A225), MONTH(A225), 1)), "")</f>
        <v>8</v>
      </c>
      <c r="G225" s="80">
        <f t="shared" si="75"/>
        <v>33</v>
      </c>
      <c r="H225" s="80" t="str">
        <f t="shared" si="71"/>
        <v>8|8</v>
      </c>
    </row>
    <row r="226" spans="1:8" x14ac:dyDescent="0.25">
      <c r="A226" s="79">
        <f t="shared" si="80"/>
        <v>46247</v>
      </c>
      <c r="B226" s="80">
        <f t="shared" si="81"/>
        <v>5</v>
      </c>
      <c r="C226" s="80" t="str">
        <f t="shared" si="70"/>
        <v>quinta-feira</v>
      </c>
      <c r="D226" s="81" t="str">
        <f t="shared" si="69"/>
        <v/>
      </c>
      <c r="E226" s="80" t="str">
        <f t="shared" si="74"/>
        <v>Sim</v>
      </c>
      <c r="F226" s="80">
        <f>IF(E226="Sim", COUNTIFS($E$2:E226, "Sim", $A$2:A226, "&gt;="&amp;DATE(YEAR(A226), MONTH(A226), 1)), "")</f>
        <v>9</v>
      </c>
      <c r="G226" s="80">
        <f t="shared" si="75"/>
        <v>33</v>
      </c>
      <c r="H226" s="80" t="str">
        <f t="shared" si="71"/>
        <v>8|9</v>
      </c>
    </row>
    <row r="227" spans="1:8" x14ac:dyDescent="0.25">
      <c r="A227" s="79">
        <f t="shared" si="80"/>
        <v>46248</v>
      </c>
      <c r="B227" s="80">
        <f t="shared" si="81"/>
        <v>6</v>
      </c>
      <c r="C227" s="80" t="str">
        <f t="shared" si="70"/>
        <v>sexta-feira</v>
      </c>
      <c r="D227" s="81" t="str">
        <f t="shared" si="69"/>
        <v/>
      </c>
      <c r="E227" s="80" t="str">
        <f t="shared" si="74"/>
        <v>Sim</v>
      </c>
      <c r="F227" s="80">
        <f>IF(E227="Sim", COUNTIFS($E$2:E227, "Sim", $A$2:A227, "&gt;="&amp;DATE(YEAR(A227), MONTH(A227), 1)), "")</f>
        <v>10</v>
      </c>
      <c r="G227" s="80">
        <f t="shared" si="75"/>
        <v>33</v>
      </c>
      <c r="H227" s="80" t="str">
        <f t="shared" si="71"/>
        <v>8|10</v>
      </c>
    </row>
    <row r="228" spans="1:8" x14ac:dyDescent="0.25">
      <c r="A228" s="79">
        <f t="shared" si="80"/>
        <v>46249</v>
      </c>
      <c r="B228" s="80">
        <f t="shared" si="81"/>
        <v>7</v>
      </c>
      <c r="C228" s="80" t="str">
        <f t="shared" si="70"/>
        <v>sábado</v>
      </c>
      <c r="D228" s="81" t="str">
        <f t="shared" si="69"/>
        <v/>
      </c>
      <c r="E228" s="80" t="str">
        <f t="shared" si="74"/>
        <v>Não</v>
      </c>
      <c r="F228" s="80" t="str">
        <f>IF(E228="Sim", COUNTIFS($E$2:E228, "Sim", $A$2:A228, "&gt;="&amp;DATE(YEAR(A228), MONTH(A228), 1)), "")</f>
        <v/>
      </c>
      <c r="G228" s="80">
        <f t="shared" si="75"/>
        <v>33</v>
      </c>
      <c r="H228" s="80" t="str">
        <f t="shared" si="71"/>
        <v/>
      </c>
    </row>
    <row r="229" spans="1:8" x14ac:dyDescent="0.25">
      <c r="A229" s="73">
        <f t="shared" ref="A229:A235" si="82">A228+1</f>
        <v>46250</v>
      </c>
      <c r="B229" s="72">
        <f t="shared" ref="B229:B235" si="83">WEEKDAY(A229,1)</f>
        <v>1</v>
      </c>
      <c r="C229" s="72" t="str">
        <f t="shared" si="70"/>
        <v>domingo</v>
      </c>
      <c r="D229" s="78" t="str">
        <f t="shared" si="69"/>
        <v/>
      </c>
      <c r="E229" s="72" t="str">
        <f t="shared" si="74"/>
        <v>Não</v>
      </c>
      <c r="F229" s="72" t="str">
        <f>IF(E229="Sim", COUNTIFS($E$2:E229, "Sim", $A$2:A229, "&gt;="&amp;DATE(YEAR(A229), MONTH(A229), 1)), "")</f>
        <v/>
      </c>
      <c r="G229" s="72">
        <f t="shared" si="75"/>
        <v>34</v>
      </c>
      <c r="H229" s="72" t="str">
        <f t="shared" si="71"/>
        <v/>
      </c>
    </row>
    <row r="230" spans="1:8" x14ac:dyDescent="0.25">
      <c r="A230" s="73">
        <f t="shared" si="82"/>
        <v>46251</v>
      </c>
      <c r="B230" s="72">
        <f t="shared" si="83"/>
        <v>2</v>
      </c>
      <c r="C230" s="72" t="str">
        <f t="shared" si="70"/>
        <v>segunda-feira</v>
      </c>
      <c r="D230" s="78" t="str">
        <f t="shared" si="69"/>
        <v/>
      </c>
      <c r="E230" s="72" t="str">
        <f t="shared" si="74"/>
        <v>Sim</v>
      </c>
      <c r="F230" s="72">
        <f>IF(E230="Sim", COUNTIFS($E$2:E230, "Sim", $A$2:A230, "&gt;="&amp;DATE(YEAR(A230), MONTH(A230), 1)), "")</f>
        <v>11</v>
      </c>
      <c r="G230" s="72">
        <f t="shared" si="75"/>
        <v>34</v>
      </c>
      <c r="H230" s="72" t="str">
        <f t="shared" si="71"/>
        <v>8|11</v>
      </c>
    </row>
    <row r="231" spans="1:8" x14ac:dyDescent="0.25">
      <c r="A231" s="73">
        <f t="shared" si="82"/>
        <v>46252</v>
      </c>
      <c r="B231" s="72">
        <f t="shared" si="83"/>
        <v>3</v>
      </c>
      <c r="C231" s="72" t="str">
        <f t="shared" si="70"/>
        <v>terça-feira</v>
      </c>
      <c r="D231" s="78" t="str">
        <f t="shared" si="69"/>
        <v/>
      </c>
      <c r="E231" s="72" t="str">
        <f t="shared" si="74"/>
        <v>Sim</v>
      </c>
      <c r="F231" s="72">
        <f>IF(E231="Sim", COUNTIFS($E$2:E231, "Sim", $A$2:A231, "&gt;="&amp;DATE(YEAR(A231), MONTH(A231), 1)), "")</f>
        <v>12</v>
      </c>
      <c r="G231" s="72">
        <f t="shared" si="75"/>
        <v>34</v>
      </c>
      <c r="H231" s="72" t="str">
        <f t="shared" si="71"/>
        <v>8|12</v>
      </c>
    </row>
    <row r="232" spans="1:8" x14ac:dyDescent="0.25">
      <c r="A232" s="73">
        <f t="shared" si="82"/>
        <v>46253</v>
      </c>
      <c r="B232" s="72">
        <f t="shared" si="83"/>
        <v>4</v>
      </c>
      <c r="C232" s="72" t="str">
        <f t="shared" si="70"/>
        <v>quarta-feira</v>
      </c>
      <c r="D232" s="78" t="str">
        <f t="shared" si="69"/>
        <v/>
      </c>
      <c r="E232" s="72" t="str">
        <f t="shared" si="74"/>
        <v>Sim</v>
      </c>
      <c r="F232" s="72">
        <f>IF(E232="Sim", COUNTIFS($E$2:E232, "Sim", $A$2:A232, "&gt;="&amp;DATE(YEAR(A232), MONTH(A232), 1)), "")</f>
        <v>13</v>
      </c>
      <c r="G232" s="72">
        <f t="shared" si="75"/>
        <v>34</v>
      </c>
      <c r="H232" s="72" t="str">
        <f t="shared" si="71"/>
        <v>8|13</v>
      </c>
    </row>
    <row r="233" spans="1:8" x14ac:dyDescent="0.25">
      <c r="A233" s="73">
        <f t="shared" si="82"/>
        <v>46254</v>
      </c>
      <c r="B233" s="72">
        <f t="shared" si="83"/>
        <v>5</v>
      </c>
      <c r="C233" s="72" t="str">
        <f t="shared" si="70"/>
        <v>quinta-feira</v>
      </c>
      <c r="D233" s="78" t="str">
        <f t="shared" si="69"/>
        <v/>
      </c>
      <c r="E233" s="72" t="str">
        <f t="shared" si="74"/>
        <v>Sim</v>
      </c>
      <c r="F233" s="72">
        <f>IF(E233="Sim", COUNTIFS($E$2:E233, "Sim", $A$2:A233, "&gt;="&amp;DATE(YEAR(A233), MONTH(A233), 1)), "")</f>
        <v>14</v>
      </c>
      <c r="G233" s="72">
        <f t="shared" si="75"/>
        <v>34</v>
      </c>
      <c r="H233" s="72" t="str">
        <f t="shared" si="71"/>
        <v>8|14</v>
      </c>
    </row>
    <row r="234" spans="1:8" x14ac:dyDescent="0.25">
      <c r="A234" s="73">
        <f t="shared" si="82"/>
        <v>46255</v>
      </c>
      <c r="B234" s="72">
        <f t="shared" si="83"/>
        <v>6</v>
      </c>
      <c r="C234" s="72" t="str">
        <f t="shared" si="70"/>
        <v>sexta-feira</v>
      </c>
      <c r="D234" s="78" t="str">
        <f t="shared" si="69"/>
        <v/>
      </c>
      <c r="E234" s="72" t="str">
        <f t="shared" si="74"/>
        <v>Sim</v>
      </c>
      <c r="F234" s="72">
        <f>IF(E234="Sim", COUNTIFS($E$2:E234, "Sim", $A$2:A234, "&gt;="&amp;DATE(YEAR(A234), MONTH(A234), 1)), "")</f>
        <v>15</v>
      </c>
      <c r="G234" s="72">
        <f t="shared" si="75"/>
        <v>34</v>
      </c>
      <c r="H234" s="72" t="str">
        <f t="shared" si="71"/>
        <v>8|15</v>
      </c>
    </row>
    <row r="235" spans="1:8" x14ac:dyDescent="0.25">
      <c r="A235" s="73">
        <f t="shared" si="82"/>
        <v>46256</v>
      </c>
      <c r="B235" s="72">
        <f t="shared" si="83"/>
        <v>7</v>
      </c>
      <c r="C235" s="72" t="str">
        <f t="shared" si="70"/>
        <v>sábado</v>
      </c>
      <c r="D235" s="78" t="str">
        <f t="shared" si="69"/>
        <v/>
      </c>
      <c r="E235" s="72" t="str">
        <f t="shared" si="74"/>
        <v>Não</v>
      </c>
      <c r="F235" s="72" t="str">
        <f>IF(E235="Sim", COUNTIFS($E$2:E235, "Sim", $A$2:A235, "&gt;="&amp;DATE(YEAR(A235), MONTH(A235), 1)), "")</f>
        <v/>
      </c>
      <c r="G235" s="72">
        <f t="shared" si="75"/>
        <v>34</v>
      </c>
      <c r="H235" s="72" t="str">
        <f t="shared" si="71"/>
        <v/>
      </c>
    </row>
    <row r="236" spans="1:8" x14ac:dyDescent="0.25">
      <c r="A236" s="79">
        <f t="shared" ref="A236:A242" si="84">A235+1</f>
        <v>46257</v>
      </c>
      <c r="B236" s="80">
        <f t="shared" ref="B236:B256" si="85">WEEKDAY(A236,1)</f>
        <v>1</v>
      </c>
      <c r="C236" s="80" t="str">
        <f t="shared" si="70"/>
        <v>domingo</v>
      </c>
      <c r="D236" s="81" t="str">
        <f t="shared" si="69"/>
        <v/>
      </c>
      <c r="E236" s="80" t="str">
        <f t="shared" si="74"/>
        <v>Não</v>
      </c>
      <c r="F236" s="80" t="str">
        <f>IF(E236="Sim", COUNTIFS($E$2:E236, "Sim", $A$2:A236, "&gt;="&amp;DATE(YEAR(A236), MONTH(A236), 1)), "")</f>
        <v/>
      </c>
      <c r="G236" s="80">
        <f t="shared" si="75"/>
        <v>35</v>
      </c>
      <c r="H236" s="80" t="str">
        <f t="shared" si="71"/>
        <v/>
      </c>
    </row>
    <row r="237" spans="1:8" x14ac:dyDescent="0.25">
      <c r="A237" s="79">
        <f t="shared" si="84"/>
        <v>46258</v>
      </c>
      <c r="B237" s="80">
        <f t="shared" si="85"/>
        <v>2</v>
      </c>
      <c r="C237" s="80" t="str">
        <f t="shared" si="70"/>
        <v>segunda-feira</v>
      </c>
      <c r="D237" s="81" t="str">
        <f t="shared" si="69"/>
        <v/>
      </c>
      <c r="E237" s="80" t="str">
        <f t="shared" si="74"/>
        <v>Sim</v>
      </c>
      <c r="F237" s="80">
        <f>IF(E237="Sim", COUNTIFS($E$2:E237, "Sim", $A$2:A237, "&gt;="&amp;DATE(YEAR(A237), MONTH(A237), 1)), "")</f>
        <v>16</v>
      </c>
      <c r="G237" s="80">
        <f t="shared" si="75"/>
        <v>35</v>
      </c>
      <c r="H237" s="80" t="str">
        <f t="shared" si="71"/>
        <v>8|16</v>
      </c>
    </row>
    <row r="238" spans="1:8" x14ac:dyDescent="0.25">
      <c r="A238" s="79">
        <f t="shared" si="84"/>
        <v>46259</v>
      </c>
      <c r="B238" s="80">
        <f t="shared" si="85"/>
        <v>3</v>
      </c>
      <c r="C238" s="80" t="str">
        <f t="shared" si="70"/>
        <v>terça-feira</v>
      </c>
      <c r="D238" s="81" t="str">
        <f t="shared" si="69"/>
        <v/>
      </c>
      <c r="E238" s="80" t="str">
        <f t="shared" si="74"/>
        <v>Sim</v>
      </c>
      <c r="F238" s="80">
        <f>IF(E238="Sim", COUNTIFS($E$2:E238, "Sim", $A$2:A238, "&gt;="&amp;DATE(YEAR(A238), MONTH(A238), 1)), "")</f>
        <v>17</v>
      </c>
      <c r="G238" s="80">
        <f t="shared" si="75"/>
        <v>35</v>
      </c>
      <c r="H238" s="80" t="str">
        <f t="shared" si="71"/>
        <v>8|17</v>
      </c>
    </row>
    <row r="239" spans="1:8" x14ac:dyDescent="0.25">
      <c r="A239" s="79">
        <f t="shared" si="84"/>
        <v>46260</v>
      </c>
      <c r="B239" s="80">
        <f t="shared" si="85"/>
        <v>4</v>
      </c>
      <c r="C239" s="80" t="str">
        <f t="shared" si="70"/>
        <v>quarta-feira</v>
      </c>
      <c r="D239" s="81" t="str">
        <f t="shared" si="69"/>
        <v/>
      </c>
      <c r="E239" s="80" t="str">
        <f t="shared" si="74"/>
        <v>Sim</v>
      </c>
      <c r="F239" s="80">
        <f>IF(E239="Sim", COUNTIFS($E$2:E239, "Sim", $A$2:A239, "&gt;="&amp;DATE(YEAR(A239), MONTH(A239), 1)), "")</f>
        <v>18</v>
      </c>
      <c r="G239" s="80">
        <f t="shared" si="75"/>
        <v>35</v>
      </c>
      <c r="H239" s="80" t="str">
        <f t="shared" si="71"/>
        <v>8|18</v>
      </c>
    </row>
    <row r="240" spans="1:8" x14ac:dyDescent="0.25">
      <c r="A240" s="79">
        <f t="shared" si="84"/>
        <v>46261</v>
      </c>
      <c r="B240" s="80">
        <f t="shared" si="85"/>
        <v>5</v>
      </c>
      <c r="C240" s="80" t="str">
        <f t="shared" si="70"/>
        <v>quinta-feira</v>
      </c>
      <c r="D240" s="81" t="str">
        <f t="shared" si="69"/>
        <v/>
      </c>
      <c r="E240" s="80" t="str">
        <f t="shared" si="74"/>
        <v>Sim</v>
      </c>
      <c r="F240" s="80">
        <f>IF(E240="Sim", COUNTIFS($E$2:E240, "Sim", $A$2:A240, "&gt;="&amp;DATE(YEAR(A240), MONTH(A240), 1)), "")</f>
        <v>19</v>
      </c>
      <c r="G240" s="80">
        <f t="shared" si="75"/>
        <v>35</v>
      </c>
      <c r="H240" s="80" t="str">
        <f t="shared" si="71"/>
        <v>8|19</v>
      </c>
    </row>
    <row r="241" spans="1:8" x14ac:dyDescent="0.25">
      <c r="A241" s="79">
        <f t="shared" si="84"/>
        <v>46262</v>
      </c>
      <c r="B241" s="80">
        <f t="shared" si="85"/>
        <v>6</v>
      </c>
      <c r="C241" s="80" t="str">
        <f t="shared" si="70"/>
        <v>sexta-feira</v>
      </c>
      <c r="D241" s="81" t="str">
        <f t="shared" si="69"/>
        <v/>
      </c>
      <c r="E241" s="80" t="str">
        <f t="shared" si="74"/>
        <v>Sim</v>
      </c>
      <c r="F241" s="80">
        <f>IF(E241="Sim", COUNTIFS($E$2:E241, "Sim", $A$2:A241, "&gt;="&amp;DATE(YEAR(A241), MONTH(A241), 1)), "")</f>
        <v>20</v>
      </c>
      <c r="G241" s="80">
        <f t="shared" si="75"/>
        <v>35</v>
      </c>
      <c r="H241" s="80" t="str">
        <f t="shared" si="71"/>
        <v>8|20</v>
      </c>
    </row>
    <row r="242" spans="1:8" x14ac:dyDescent="0.25">
      <c r="A242" s="79">
        <f t="shared" si="84"/>
        <v>46263</v>
      </c>
      <c r="B242" s="80">
        <f t="shared" si="85"/>
        <v>7</v>
      </c>
      <c r="C242" s="80" t="str">
        <f t="shared" si="70"/>
        <v>sábado</v>
      </c>
      <c r="D242" s="81" t="str">
        <f t="shared" si="69"/>
        <v/>
      </c>
      <c r="E242" s="80" t="str">
        <f t="shared" si="74"/>
        <v>Não</v>
      </c>
      <c r="F242" s="80" t="str">
        <f>IF(E242="Sim", COUNTIFS($E$2:E242, "Sim", $A$2:A242, "&gt;="&amp;DATE(YEAR(A242), MONTH(A242), 1)), "")</f>
        <v/>
      </c>
      <c r="G242" s="80">
        <f t="shared" si="75"/>
        <v>35</v>
      </c>
      <c r="H242" s="80" t="str">
        <f t="shared" si="71"/>
        <v/>
      </c>
    </row>
    <row r="243" spans="1:8" x14ac:dyDescent="0.25">
      <c r="A243" s="73">
        <f t="shared" ref="A243:A249" si="86">A242+1</f>
        <v>46264</v>
      </c>
      <c r="B243" s="72">
        <f t="shared" ref="B243:B249" si="87">WEEKDAY(A243,1)</f>
        <v>1</v>
      </c>
      <c r="C243" s="72" t="str">
        <f t="shared" si="70"/>
        <v>domingo</v>
      </c>
      <c r="D243" s="78" t="str">
        <f t="shared" si="69"/>
        <v/>
      </c>
      <c r="E243" s="72" t="str">
        <f t="shared" si="74"/>
        <v>Não</v>
      </c>
      <c r="F243" s="72" t="str">
        <f>IF(E243="Sim", COUNTIFS($E$2:E243, "Sim", $A$2:A243, "&gt;="&amp;DATE(YEAR(A243), MONTH(A243), 1)), "")</f>
        <v/>
      </c>
      <c r="G243" s="72">
        <f t="shared" si="75"/>
        <v>36</v>
      </c>
      <c r="H243" s="72" t="str">
        <f t="shared" si="71"/>
        <v/>
      </c>
    </row>
    <row r="244" spans="1:8" x14ac:dyDescent="0.25">
      <c r="A244" s="73">
        <f t="shared" si="86"/>
        <v>46265</v>
      </c>
      <c r="B244" s="72">
        <f t="shared" si="87"/>
        <v>2</v>
      </c>
      <c r="C244" s="72" t="str">
        <f t="shared" si="70"/>
        <v>segunda-feira</v>
      </c>
      <c r="D244" s="78" t="str">
        <f t="shared" si="69"/>
        <v/>
      </c>
      <c r="E244" s="72" t="str">
        <f t="shared" si="74"/>
        <v>Sim</v>
      </c>
      <c r="F244" s="72">
        <f>IF(E244="Sim", COUNTIFS($E$2:E244, "Sim", $A$2:A244, "&gt;="&amp;DATE(YEAR(A244), MONTH(A244), 1)), "")</f>
        <v>21</v>
      </c>
      <c r="G244" s="72">
        <f t="shared" si="75"/>
        <v>36</v>
      </c>
      <c r="H244" s="72" t="str">
        <f t="shared" si="71"/>
        <v>8|21</v>
      </c>
    </row>
    <row r="245" spans="1:8" x14ac:dyDescent="0.25">
      <c r="A245" s="73">
        <f t="shared" si="86"/>
        <v>46266</v>
      </c>
      <c r="B245" s="72">
        <f t="shared" si="87"/>
        <v>3</v>
      </c>
      <c r="C245" s="72" t="str">
        <f t="shared" si="70"/>
        <v>terça-feira</v>
      </c>
      <c r="D245" s="78" t="str">
        <f t="shared" si="69"/>
        <v/>
      </c>
      <c r="E245" s="72" t="str">
        <f t="shared" si="74"/>
        <v>Sim</v>
      </c>
      <c r="F245" s="72">
        <f>IF(E245="Sim", COUNTIFS($E$2:E245, "Sim", $A$2:A245, "&gt;="&amp;DATE(YEAR(A245), MONTH(A245), 1)), "")</f>
        <v>1</v>
      </c>
      <c r="G245" s="72">
        <f t="shared" si="75"/>
        <v>36</v>
      </c>
      <c r="H245" s="72" t="str">
        <f t="shared" si="71"/>
        <v>9|1</v>
      </c>
    </row>
    <row r="246" spans="1:8" x14ac:dyDescent="0.25">
      <c r="A246" s="73">
        <f t="shared" si="86"/>
        <v>46267</v>
      </c>
      <c r="B246" s="72">
        <f t="shared" si="87"/>
        <v>4</v>
      </c>
      <c r="C246" s="72" t="str">
        <f t="shared" si="70"/>
        <v>quarta-feira</v>
      </c>
      <c r="D246" s="78" t="str">
        <f t="shared" si="69"/>
        <v/>
      </c>
      <c r="E246" s="72" t="str">
        <f t="shared" si="74"/>
        <v>Sim</v>
      </c>
      <c r="F246" s="72">
        <f>IF(E246="Sim", COUNTIFS($E$2:E246, "Sim", $A$2:A246, "&gt;="&amp;DATE(YEAR(A246), MONTH(A246), 1)), "")</f>
        <v>2</v>
      </c>
      <c r="G246" s="72">
        <f t="shared" si="75"/>
        <v>36</v>
      </c>
      <c r="H246" s="72" t="str">
        <f t="shared" si="71"/>
        <v>9|2</v>
      </c>
    </row>
    <row r="247" spans="1:8" x14ac:dyDescent="0.25">
      <c r="A247" s="73">
        <f t="shared" si="86"/>
        <v>46268</v>
      </c>
      <c r="B247" s="72">
        <f t="shared" si="87"/>
        <v>5</v>
      </c>
      <c r="C247" s="72" t="str">
        <f t="shared" si="70"/>
        <v>quinta-feira</v>
      </c>
      <c r="D247" s="78" t="str">
        <f t="shared" si="69"/>
        <v/>
      </c>
      <c r="E247" s="72" t="str">
        <f t="shared" si="74"/>
        <v>Sim</v>
      </c>
      <c r="F247" s="72">
        <f>IF(E247="Sim", COUNTIFS($E$2:E247, "Sim", $A$2:A247, "&gt;="&amp;DATE(YEAR(A247), MONTH(A247), 1)), "")</f>
        <v>3</v>
      </c>
      <c r="G247" s="72">
        <f t="shared" si="75"/>
        <v>36</v>
      </c>
      <c r="H247" s="72" t="str">
        <f t="shared" si="71"/>
        <v>9|3</v>
      </c>
    </row>
    <row r="248" spans="1:8" x14ac:dyDescent="0.25">
      <c r="A248" s="73">
        <f t="shared" si="86"/>
        <v>46269</v>
      </c>
      <c r="B248" s="72">
        <f t="shared" si="87"/>
        <v>6</v>
      </c>
      <c r="C248" s="72" t="str">
        <f t="shared" si="70"/>
        <v>sexta-feira</v>
      </c>
      <c r="D248" s="78" t="str">
        <f t="shared" si="69"/>
        <v/>
      </c>
      <c r="E248" s="72" t="str">
        <f t="shared" si="74"/>
        <v>Sim</v>
      </c>
      <c r="F248" s="72">
        <f>IF(E248="Sim", COUNTIFS($E$2:E248, "Sim", $A$2:A248, "&gt;="&amp;DATE(YEAR(A248), MONTH(A248), 1)), "")</f>
        <v>4</v>
      </c>
      <c r="G248" s="72">
        <f t="shared" si="75"/>
        <v>36</v>
      </c>
      <c r="H248" s="72" t="str">
        <f t="shared" si="71"/>
        <v>9|4</v>
      </c>
    </row>
    <row r="249" spans="1:8" x14ac:dyDescent="0.25">
      <c r="A249" s="73">
        <f t="shared" si="86"/>
        <v>46270</v>
      </c>
      <c r="B249" s="72">
        <f t="shared" si="87"/>
        <v>7</v>
      </c>
      <c r="C249" s="72" t="str">
        <f t="shared" si="70"/>
        <v>sábado</v>
      </c>
      <c r="D249" s="78" t="str">
        <f t="shared" si="69"/>
        <v/>
      </c>
      <c r="E249" s="72" t="str">
        <f t="shared" si="74"/>
        <v>Não</v>
      </c>
      <c r="F249" s="72" t="str">
        <f>IF(E249="Sim", COUNTIFS($E$2:E249, "Sim", $A$2:A249, "&gt;="&amp;DATE(YEAR(A249), MONTH(A249), 1)), "")</f>
        <v/>
      </c>
      <c r="G249" s="72">
        <f t="shared" si="75"/>
        <v>36</v>
      </c>
      <c r="H249" s="72" t="str">
        <f t="shared" si="71"/>
        <v/>
      </c>
    </row>
    <row r="250" spans="1:8" x14ac:dyDescent="0.25">
      <c r="A250" s="79">
        <f t="shared" ref="A250:A256" si="88">A249+1</f>
        <v>46271</v>
      </c>
      <c r="B250" s="80">
        <f t="shared" si="85"/>
        <v>1</v>
      </c>
      <c r="C250" s="80" t="str">
        <f t="shared" si="70"/>
        <v>domingo</v>
      </c>
      <c r="D250" s="81" t="str">
        <f t="shared" si="69"/>
        <v/>
      </c>
      <c r="E250" s="80" t="str">
        <f t="shared" si="74"/>
        <v>Não</v>
      </c>
      <c r="F250" s="80" t="str">
        <f>IF(E250="Sim", COUNTIFS($E$2:E250, "Sim", $A$2:A250, "&gt;="&amp;DATE(YEAR(A250), MONTH(A250), 1)), "")</f>
        <v/>
      </c>
      <c r="G250" s="80">
        <f t="shared" si="75"/>
        <v>37</v>
      </c>
      <c r="H250" s="80" t="str">
        <f t="shared" si="71"/>
        <v/>
      </c>
    </row>
    <row r="251" spans="1:8" x14ac:dyDescent="0.25">
      <c r="A251" s="79">
        <f t="shared" si="88"/>
        <v>46272</v>
      </c>
      <c r="B251" s="80">
        <f t="shared" si="85"/>
        <v>2</v>
      </c>
      <c r="C251" s="80" t="str">
        <f t="shared" si="70"/>
        <v>segunda-feira</v>
      </c>
      <c r="D251" s="81" t="str">
        <f t="shared" si="69"/>
        <v>Sim</v>
      </c>
      <c r="E251" s="80" t="str">
        <f t="shared" si="74"/>
        <v>Não</v>
      </c>
      <c r="F251" s="80" t="str">
        <f>IF(E251="Sim", COUNTIFS($E$2:E251, "Sim", $A$2:A251, "&gt;="&amp;DATE(YEAR(A251), MONTH(A251), 1)), "")</f>
        <v/>
      </c>
      <c r="G251" s="80">
        <f t="shared" si="75"/>
        <v>37</v>
      </c>
      <c r="H251" s="80" t="str">
        <f t="shared" si="71"/>
        <v/>
      </c>
    </row>
    <row r="252" spans="1:8" x14ac:dyDescent="0.25">
      <c r="A252" s="79">
        <f t="shared" si="88"/>
        <v>46273</v>
      </c>
      <c r="B252" s="80">
        <f t="shared" si="85"/>
        <v>3</v>
      </c>
      <c r="C252" s="80" t="str">
        <f t="shared" si="70"/>
        <v>terça-feira</v>
      </c>
      <c r="D252" s="81" t="str">
        <f t="shared" si="69"/>
        <v/>
      </c>
      <c r="E252" s="80" t="str">
        <f t="shared" si="74"/>
        <v>Sim</v>
      </c>
      <c r="F252" s="80">
        <f>IF(E252="Sim", COUNTIFS($E$2:E252, "Sim", $A$2:A252, "&gt;="&amp;DATE(YEAR(A252), MONTH(A252), 1)), "")</f>
        <v>5</v>
      </c>
      <c r="G252" s="80">
        <f t="shared" si="75"/>
        <v>37</v>
      </c>
      <c r="H252" s="80" t="str">
        <f t="shared" si="71"/>
        <v>9|5</v>
      </c>
    </row>
    <row r="253" spans="1:8" x14ac:dyDescent="0.25">
      <c r="A253" s="79">
        <f t="shared" si="88"/>
        <v>46274</v>
      </c>
      <c r="B253" s="80">
        <f t="shared" si="85"/>
        <v>4</v>
      </c>
      <c r="C253" s="80" t="str">
        <f t="shared" si="70"/>
        <v>quarta-feira</v>
      </c>
      <c r="D253" s="81" t="str">
        <f t="shared" si="69"/>
        <v/>
      </c>
      <c r="E253" s="80" t="str">
        <f t="shared" si="74"/>
        <v>Sim</v>
      </c>
      <c r="F253" s="80">
        <f>IF(E253="Sim", COUNTIFS($E$2:E253, "Sim", $A$2:A253, "&gt;="&amp;DATE(YEAR(A253), MONTH(A253), 1)), "")</f>
        <v>6</v>
      </c>
      <c r="G253" s="80">
        <f t="shared" si="75"/>
        <v>37</v>
      </c>
      <c r="H253" s="80" t="str">
        <f t="shared" si="71"/>
        <v>9|6</v>
      </c>
    </row>
    <row r="254" spans="1:8" x14ac:dyDescent="0.25">
      <c r="A254" s="79">
        <f t="shared" si="88"/>
        <v>46275</v>
      </c>
      <c r="B254" s="80">
        <f t="shared" si="85"/>
        <v>5</v>
      </c>
      <c r="C254" s="80" t="str">
        <f t="shared" si="70"/>
        <v>quinta-feira</v>
      </c>
      <c r="D254" s="81" t="str">
        <f t="shared" si="69"/>
        <v/>
      </c>
      <c r="E254" s="80" t="str">
        <f t="shared" si="74"/>
        <v>Sim</v>
      </c>
      <c r="F254" s="80">
        <f>IF(E254="Sim", COUNTIFS($E$2:E254, "Sim", $A$2:A254, "&gt;="&amp;DATE(YEAR(A254), MONTH(A254), 1)), "")</f>
        <v>7</v>
      </c>
      <c r="G254" s="80">
        <f t="shared" si="75"/>
        <v>37</v>
      </c>
      <c r="H254" s="80" t="str">
        <f t="shared" si="71"/>
        <v>9|7</v>
      </c>
    </row>
    <row r="255" spans="1:8" x14ac:dyDescent="0.25">
      <c r="A255" s="79">
        <f t="shared" si="88"/>
        <v>46276</v>
      </c>
      <c r="B255" s="80">
        <f t="shared" si="85"/>
        <v>6</v>
      </c>
      <c r="C255" s="80" t="str">
        <f t="shared" si="70"/>
        <v>sexta-feira</v>
      </c>
      <c r="D255" s="81" t="str">
        <f t="shared" si="69"/>
        <v/>
      </c>
      <c r="E255" s="80" t="str">
        <f t="shared" si="74"/>
        <v>Sim</v>
      </c>
      <c r="F255" s="80">
        <f>IF(E255="Sim", COUNTIFS($E$2:E255, "Sim", $A$2:A255, "&gt;="&amp;DATE(YEAR(A255), MONTH(A255), 1)), "")</f>
        <v>8</v>
      </c>
      <c r="G255" s="80">
        <f t="shared" si="75"/>
        <v>37</v>
      </c>
      <c r="H255" s="80" t="str">
        <f t="shared" si="71"/>
        <v>9|8</v>
      </c>
    </row>
    <row r="256" spans="1:8" x14ac:dyDescent="0.25">
      <c r="A256" s="79">
        <f t="shared" si="88"/>
        <v>46277</v>
      </c>
      <c r="B256" s="80">
        <f t="shared" si="85"/>
        <v>7</v>
      </c>
      <c r="C256" s="80" t="str">
        <f t="shared" si="70"/>
        <v>sábado</v>
      </c>
      <c r="D256" s="81" t="str">
        <f t="shared" si="69"/>
        <v/>
      </c>
      <c r="E256" s="80" t="str">
        <f t="shared" si="74"/>
        <v>Não</v>
      </c>
      <c r="F256" s="80" t="str">
        <f>IF(E256="Sim", COUNTIFS($E$2:E256, "Sim", $A$2:A256, "&gt;="&amp;DATE(YEAR(A256), MONTH(A256), 1)), "")</f>
        <v/>
      </c>
      <c r="G256" s="80">
        <f t="shared" si="75"/>
        <v>37</v>
      </c>
      <c r="H256" s="80" t="str">
        <f t="shared" si="71"/>
        <v/>
      </c>
    </row>
    <row r="257" spans="1:8" x14ac:dyDescent="0.25">
      <c r="A257" s="73">
        <f t="shared" ref="A257:A263" si="89">A256+1</f>
        <v>46278</v>
      </c>
      <c r="B257" s="72">
        <f t="shared" ref="B257:B263" si="90">WEEKDAY(A257,1)</f>
        <v>1</v>
      </c>
      <c r="C257" s="72" t="str">
        <f t="shared" si="70"/>
        <v>domingo</v>
      </c>
      <c r="D257" s="78" t="str">
        <f t="shared" si="69"/>
        <v/>
      </c>
      <c r="E257" s="72" t="str">
        <f t="shared" si="74"/>
        <v>Não</v>
      </c>
      <c r="F257" s="72" t="str">
        <f>IF(E257="Sim", COUNTIFS($E$2:E257, "Sim", $A$2:A257, "&gt;="&amp;DATE(YEAR(A257), MONTH(A257), 1)), "")</f>
        <v/>
      </c>
      <c r="G257" s="72">
        <f t="shared" si="75"/>
        <v>38</v>
      </c>
      <c r="H257" s="72" t="str">
        <f t="shared" si="71"/>
        <v/>
      </c>
    </row>
    <row r="258" spans="1:8" x14ac:dyDescent="0.25">
      <c r="A258" s="73">
        <f t="shared" si="89"/>
        <v>46279</v>
      </c>
      <c r="B258" s="72">
        <f t="shared" si="90"/>
        <v>2</v>
      </c>
      <c r="C258" s="72" t="str">
        <f t="shared" si="70"/>
        <v>segunda-feira</v>
      </c>
      <c r="D258" s="78" t="str">
        <f t="shared" ref="D258:D321" si="91">IF(_xlfn.XLOOKUP(A258,J:J,J:J,0,0)=A258,"Sim","")</f>
        <v/>
      </c>
      <c r="E258" s="72" t="str">
        <f t="shared" si="74"/>
        <v>Sim</v>
      </c>
      <c r="F258" s="72">
        <f>IF(E258="Sim", COUNTIFS($E$2:E258, "Sim", $A$2:A258, "&gt;="&amp;DATE(YEAR(A258), MONTH(A258), 1)), "")</f>
        <v>9</v>
      </c>
      <c r="G258" s="72">
        <f t="shared" si="75"/>
        <v>38</v>
      </c>
      <c r="H258" s="72" t="str">
        <f t="shared" si="71"/>
        <v>9|9</v>
      </c>
    </row>
    <row r="259" spans="1:8" x14ac:dyDescent="0.25">
      <c r="A259" s="73">
        <f t="shared" si="89"/>
        <v>46280</v>
      </c>
      <c r="B259" s="72">
        <f t="shared" si="90"/>
        <v>3</v>
      </c>
      <c r="C259" s="72" t="str">
        <f t="shared" ref="C259:C322" si="92">TEXT(B259,"ddddd")</f>
        <v>terça-feira</v>
      </c>
      <c r="D259" s="78" t="str">
        <f t="shared" si="91"/>
        <v/>
      </c>
      <c r="E259" s="72" t="str">
        <f t="shared" si="74"/>
        <v>Sim</v>
      </c>
      <c r="F259" s="72">
        <f>IF(E259="Sim", COUNTIFS($E$2:E259, "Sim", $A$2:A259, "&gt;="&amp;DATE(YEAR(A259), MONTH(A259), 1)), "")</f>
        <v>10</v>
      </c>
      <c r="G259" s="72">
        <f t="shared" si="75"/>
        <v>38</v>
      </c>
      <c r="H259" s="72" t="str">
        <f t="shared" ref="H259:H322" si="93">IF(F259="","",MONTH(A259)&amp;"|"&amp;F259)</f>
        <v>9|10</v>
      </c>
    </row>
    <row r="260" spans="1:8" x14ac:dyDescent="0.25">
      <c r="A260" s="73">
        <f t="shared" si="89"/>
        <v>46281</v>
      </c>
      <c r="B260" s="72">
        <f t="shared" si="90"/>
        <v>4</v>
      </c>
      <c r="C260" s="72" t="str">
        <f t="shared" si="92"/>
        <v>quarta-feira</v>
      </c>
      <c r="D260" s="78" t="str">
        <f t="shared" si="91"/>
        <v/>
      </c>
      <c r="E260" s="72" t="str">
        <f t="shared" si="74"/>
        <v>Sim</v>
      </c>
      <c r="F260" s="72">
        <f>IF(E260="Sim", COUNTIFS($E$2:E260, "Sim", $A$2:A260, "&gt;="&amp;DATE(YEAR(A260), MONTH(A260), 1)), "")</f>
        <v>11</v>
      </c>
      <c r="G260" s="72">
        <f t="shared" si="75"/>
        <v>38</v>
      </c>
      <c r="H260" s="72" t="str">
        <f t="shared" si="93"/>
        <v>9|11</v>
      </c>
    </row>
    <row r="261" spans="1:8" x14ac:dyDescent="0.25">
      <c r="A261" s="73">
        <f t="shared" si="89"/>
        <v>46282</v>
      </c>
      <c r="B261" s="72">
        <f t="shared" si="90"/>
        <v>5</v>
      </c>
      <c r="C261" s="72" t="str">
        <f t="shared" si="92"/>
        <v>quinta-feira</v>
      </c>
      <c r="D261" s="78" t="str">
        <f t="shared" si="91"/>
        <v/>
      </c>
      <c r="E261" s="72" t="str">
        <f t="shared" si="74"/>
        <v>Sim</v>
      </c>
      <c r="F261" s="72">
        <f>IF(E261="Sim", COUNTIFS($E$2:E261, "Sim", $A$2:A261, "&gt;="&amp;DATE(YEAR(A261), MONTH(A261), 1)), "")</f>
        <v>12</v>
      </c>
      <c r="G261" s="72">
        <f t="shared" si="75"/>
        <v>38</v>
      </c>
      <c r="H261" s="72" t="str">
        <f t="shared" si="93"/>
        <v>9|12</v>
      </c>
    </row>
    <row r="262" spans="1:8" x14ac:dyDescent="0.25">
      <c r="A262" s="73">
        <f t="shared" si="89"/>
        <v>46283</v>
      </c>
      <c r="B262" s="72">
        <f t="shared" si="90"/>
        <v>6</v>
      </c>
      <c r="C262" s="72" t="str">
        <f t="shared" si="92"/>
        <v>sexta-feira</v>
      </c>
      <c r="D262" s="78" t="str">
        <f t="shared" si="91"/>
        <v/>
      </c>
      <c r="E262" s="72" t="str">
        <f t="shared" si="74"/>
        <v>Sim</v>
      </c>
      <c r="F262" s="72">
        <f>IF(E262="Sim", COUNTIFS($E$2:E262, "Sim", $A$2:A262, "&gt;="&amp;DATE(YEAR(A262), MONTH(A262), 1)), "")</f>
        <v>13</v>
      </c>
      <c r="G262" s="72">
        <f t="shared" si="75"/>
        <v>38</v>
      </c>
      <c r="H262" s="72" t="str">
        <f t="shared" si="93"/>
        <v>9|13</v>
      </c>
    </row>
    <row r="263" spans="1:8" x14ac:dyDescent="0.25">
      <c r="A263" s="73">
        <f t="shared" si="89"/>
        <v>46284</v>
      </c>
      <c r="B263" s="72">
        <f t="shared" si="90"/>
        <v>7</v>
      </c>
      <c r="C263" s="72" t="str">
        <f t="shared" si="92"/>
        <v>sábado</v>
      </c>
      <c r="D263" s="78" t="str">
        <f t="shared" si="91"/>
        <v/>
      </c>
      <c r="E263" s="72" t="str">
        <f t="shared" si="74"/>
        <v>Não</v>
      </c>
      <c r="F263" s="72" t="str">
        <f>IF(E263="Sim", COUNTIFS($E$2:E263, "Sim", $A$2:A263, "&gt;="&amp;DATE(YEAR(A263), MONTH(A263), 1)), "")</f>
        <v/>
      </c>
      <c r="G263" s="72">
        <f t="shared" si="75"/>
        <v>38</v>
      </c>
      <c r="H263" s="72" t="str">
        <f t="shared" si="93"/>
        <v/>
      </c>
    </row>
    <row r="264" spans="1:8" x14ac:dyDescent="0.25">
      <c r="A264" s="79">
        <f t="shared" ref="A264:A270" si="94">A263+1</f>
        <v>46285</v>
      </c>
      <c r="B264" s="80">
        <f t="shared" ref="B264:B270" si="95">WEEKDAY(A264,1)</f>
        <v>1</v>
      </c>
      <c r="C264" s="80" t="str">
        <f t="shared" si="92"/>
        <v>domingo</v>
      </c>
      <c r="D264" s="81" t="str">
        <f t="shared" si="91"/>
        <v/>
      </c>
      <c r="E264" s="80" t="str">
        <f t="shared" si="74"/>
        <v>Não</v>
      </c>
      <c r="F264" s="80" t="str">
        <f>IF(E264="Sim", COUNTIFS($E$2:E264, "Sim", $A$2:A264, "&gt;="&amp;DATE(YEAR(A264), MONTH(A264), 1)), "")</f>
        <v/>
      </c>
      <c r="G264" s="80">
        <f t="shared" si="75"/>
        <v>39</v>
      </c>
      <c r="H264" s="80" t="str">
        <f t="shared" si="93"/>
        <v/>
      </c>
    </row>
    <row r="265" spans="1:8" x14ac:dyDescent="0.25">
      <c r="A265" s="79">
        <f t="shared" si="94"/>
        <v>46286</v>
      </c>
      <c r="B265" s="80">
        <f t="shared" si="95"/>
        <v>2</v>
      </c>
      <c r="C265" s="80" t="str">
        <f t="shared" si="92"/>
        <v>segunda-feira</v>
      </c>
      <c r="D265" s="81" t="str">
        <f t="shared" si="91"/>
        <v/>
      </c>
      <c r="E265" s="80" t="str">
        <f t="shared" si="74"/>
        <v>Sim</v>
      </c>
      <c r="F265" s="80">
        <f>IF(E265="Sim", COUNTIFS($E$2:E265, "Sim", $A$2:A265, "&gt;="&amp;DATE(YEAR(A265), MONTH(A265), 1)), "")</f>
        <v>14</v>
      </c>
      <c r="G265" s="80">
        <f t="shared" si="75"/>
        <v>39</v>
      </c>
      <c r="H265" s="80" t="str">
        <f t="shared" si="93"/>
        <v>9|14</v>
      </c>
    </row>
    <row r="266" spans="1:8" x14ac:dyDescent="0.25">
      <c r="A266" s="79">
        <f t="shared" si="94"/>
        <v>46287</v>
      </c>
      <c r="B266" s="80">
        <f t="shared" si="95"/>
        <v>3</v>
      </c>
      <c r="C266" s="80" t="str">
        <f t="shared" si="92"/>
        <v>terça-feira</v>
      </c>
      <c r="D266" s="81" t="str">
        <f t="shared" si="91"/>
        <v/>
      </c>
      <c r="E266" s="80" t="str">
        <f t="shared" si="74"/>
        <v>Sim</v>
      </c>
      <c r="F266" s="80">
        <f>IF(E266="Sim", COUNTIFS($E$2:E266, "Sim", $A$2:A266, "&gt;="&amp;DATE(YEAR(A266), MONTH(A266), 1)), "")</f>
        <v>15</v>
      </c>
      <c r="G266" s="80">
        <f t="shared" si="75"/>
        <v>39</v>
      </c>
      <c r="H266" s="80" t="str">
        <f t="shared" si="93"/>
        <v>9|15</v>
      </c>
    </row>
    <row r="267" spans="1:8" x14ac:dyDescent="0.25">
      <c r="A267" s="79">
        <f t="shared" si="94"/>
        <v>46288</v>
      </c>
      <c r="B267" s="80">
        <f t="shared" si="95"/>
        <v>4</v>
      </c>
      <c r="C267" s="80" t="str">
        <f t="shared" si="92"/>
        <v>quarta-feira</v>
      </c>
      <c r="D267" s="81" t="str">
        <f t="shared" si="91"/>
        <v/>
      </c>
      <c r="E267" s="80" t="str">
        <f t="shared" ref="E267:E330" si="96">IF(OR(B267=1,B267=7,D267&lt;&gt;""),"Não","Sim")</f>
        <v>Sim</v>
      </c>
      <c r="F267" s="80">
        <f>IF(E267="Sim", COUNTIFS($E$2:E267, "Sim", $A$2:A267, "&gt;="&amp;DATE(YEAR(A267), MONTH(A267), 1)), "")</f>
        <v>16</v>
      </c>
      <c r="G267" s="80">
        <f t="shared" ref="G267:G330" si="97">WEEKNUM(A267)</f>
        <v>39</v>
      </c>
      <c r="H267" s="80" t="str">
        <f t="shared" si="93"/>
        <v>9|16</v>
      </c>
    </row>
    <row r="268" spans="1:8" x14ac:dyDescent="0.25">
      <c r="A268" s="79">
        <f t="shared" si="94"/>
        <v>46289</v>
      </c>
      <c r="B268" s="80">
        <f t="shared" si="95"/>
        <v>5</v>
      </c>
      <c r="C268" s="80" t="str">
        <f t="shared" si="92"/>
        <v>quinta-feira</v>
      </c>
      <c r="D268" s="81" t="str">
        <f t="shared" si="91"/>
        <v/>
      </c>
      <c r="E268" s="80" t="str">
        <f t="shared" si="96"/>
        <v>Sim</v>
      </c>
      <c r="F268" s="80">
        <f>IF(E268="Sim", COUNTIFS($E$2:E268, "Sim", $A$2:A268, "&gt;="&amp;DATE(YEAR(A268), MONTH(A268), 1)), "")</f>
        <v>17</v>
      </c>
      <c r="G268" s="80">
        <f t="shared" si="97"/>
        <v>39</v>
      </c>
      <c r="H268" s="80" t="str">
        <f t="shared" si="93"/>
        <v>9|17</v>
      </c>
    </row>
    <row r="269" spans="1:8" x14ac:dyDescent="0.25">
      <c r="A269" s="79">
        <f t="shared" si="94"/>
        <v>46290</v>
      </c>
      <c r="B269" s="80">
        <f t="shared" si="95"/>
        <v>6</v>
      </c>
      <c r="C269" s="80" t="str">
        <f t="shared" si="92"/>
        <v>sexta-feira</v>
      </c>
      <c r="D269" s="81" t="str">
        <f t="shared" si="91"/>
        <v/>
      </c>
      <c r="E269" s="80" t="str">
        <f t="shared" si="96"/>
        <v>Sim</v>
      </c>
      <c r="F269" s="80">
        <f>IF(E269="Sim", COUNTIFS($E$2:E269, "Sim", $A$2:A269, "&gt;="&amp;DATE(YEAR(A269), MONTH(A269), 1)), "")</f>
        <v>18</v>
      </c>
      <c r="G269" s="80">
        <f t="shared" si="97"/>
        <v>39</v>
      </c>
      <c r="H269" s="80" t="str">
        <f t="shared" si="93"/>
        <v>9|18</v>
      </c>
    </row>
    <row r="270" spans="1:8" x14ac:dyDescent="0.25">
      <c r="A270" s="79">
        <f t="shared" si="94"/>
        <v>46291</v>
      </c>
      <c r="B270" s="80">
        <f t="shared" si="95"/>
        <v>7</v>
      </c>
      <c r="C270" s="80" t="str">
        <f t="shared" si="92"/>
        <v>sábado</v>
      </c>
      <c r="D270" s="81" t="str">
        <f t="shared" si="91"/>
        <v/>
      </c>
      <c r="E270" s="80" t="str">
        <f t="shared" si="96"/>
        <v>Não</v>
      </c>
      <c r="F270" s="80" t="str">
        <f>IF(E270="Sim", COUNTIFS($E$2:E270, "Sim", $A$2:A270, "&gt;="&amp;DATE(YEAR(A270), MONTH(A270), 1)), "")</f>
        <v/>
      </c>
      <c r="G270" s="80">
        <f t="shared" si="97"/>
        <v>39</v>
      </c>
      <c r="H270" s="80" t="str">
        <f t="shared" si="93"/>
        <v/>
      </c>
    </row>
    <row r="271" spans="1:8" x14ac:dyDescent="0.25">
      <c r="A271" s="73">
        <f t="shared" ref="A271:A277" si="98">A270+1</f>
        <v>46292</v>
      </c>
      <c r="B271" s="72">
        <f t="shared" ref="B271:B277" si="99">WEEKDAY(A271,1)</f>
        <v>1</v>
      </c>
      <c r="C271" s="72" t="str">
        <f t="shared" si="92"/>
        <v>domingo</v>
      </c>
      <c r="D271" s="78" t="str">
        <f t="shared" si="91"/>
        <v/>
      </c>
      <c r="E271" s="72" t="str">
        <f t="shared" si="96"/>
        <v>Não</v>
      </c>
      <c r="F271" s="72" t="str">
        <f>IF(E271="Sim", COUNTIFS($E$2:E271, "Sim", $A$2:A271, "&gt;="&amp;DATE(YEAR(A271), MONTH(A271), 1)), "")</f>
        <v/>
      </c>
      <c r="G271" s="72">
        <f t="shared" si="97"/>
        <v>40</v>
      </c>
      <c r="H271" s="72" t="str">
        <f t="shared" si="93"/>
        <v/>
      </c>
    </row>
    <row r="272" spans="1:8" x14ac:dyDescent="0.25">
      <c r="A272" s="73">
        <f t="shared" si="98"/>
        <v>46293</v>
      </c>
      <c r="B272" s="72">
        <f t="shared" si="99"/>
        <v>2</v>
      </c>
      <c r="C272" s="72" t="str">
        <f t="shared" si="92"/>
        <v>segunda-feira</v>
      </c>
      <c r="D272" s="78" t="str">
        <f t="shared" si="91"/>
        <v/>
      </c>
      <c r="E272" s="72" t="str">
        <f t="shared" si="96"/>
        <v>Sim</v>
      </c>
      <c r="F272" s="72">
        <f>IF(E272="Sim", COUNTIFS($E$2:E272, "Sim", $A$2:A272, "&gt;="&amp;DATE(YEAR(A272), MONTH(A272), 1)), "")</f>
        <v>19</v>
      </c>
      <c r="G272" s="72">
        <f t="shared" si="97"/>
        <v>40</v>
      </c>
      <c r="H272" s="72" t="str">
        <f t="shared" si="93"/>
        <v>9|19</v>
      </c>
    </row>
    <row r="273" spans="1:8" x14ac:dyDescent="0.25">
      <c r="A273" s="73">
        <f t="shared" si="98"/>
        <v>46294</v>
      </c>
      <c r="B273" s="72">
        <f t="shared" si="99"/>
        <v>3</v>
      </c>
      <c r="C273" s="72" t="str">
        <f t="shared" si="92"/>
        <v>terça-feira</v>
      </c>
      <c r="D273" s="78" t="str">
        <f t="shared" si="91"/>
        <v/>
      </c>
      <c r="E273" s="72" t="str">
        <f t="shared" si="96"/>
        <v>Sim</v>
      </c>
      <c r="F273" s="72">
        <f>IF(E273="Sim", COUNTIFS($E$2:E273, "Sim", $A$2:A273, "&gt;="&amp;DATE(YEAR(A273), MONTH(A273), 1)), "")</f>
        <v>20</v>
      </c>
      <c r="G273" s="72">
        <f t="shared" si="97"/>
        <v>40</v>
      </c>
      <c r="H273" s="72" t="str">
        <f t="shared" si="93"/>
        <v>9|20</v>
      </c>
    </row>
    <row r="274" spans="1:8" x14ac:dyDescent="0.25">
      <c r="A274" s="73">
        <f t="shared" si="98"/>
        <v>46295</v>
      </c>
      <c r="B274" s="72">
        <f t="shared" si="99"/>
        <v>4</v>
      </c>
      <c r="C274" s="72" t="str">
        <f t="shared" si="92"/>
        <v>quarta-feira</v>
      </c>
      <c r="D274" s="78" t="str">
        <f t="shared" si="91"/>
        <v/>
      </c>
      <c r="E274" s="72" t="str">
        <f t="shared" si="96"/>
        <v>Sim</v>
      </c>
      <c r="F274" s="72">
        <f>IF(E274="Sim", COUNTIFS($E$2:E274, "Sim", $A$2:A274, "&gt;="&amp;DATE(YEAR(A274), MONTH(A274), 1)), "")</f>
        <v>21</v>
      </c>
      <c r="G274" s="72">
        <f t="shared" si="97"/>
        <v>40</v>
      </c>
      <c r="H274" s="72" t="str">
        <f t="shared" si="93"/>
        <v>9|21</v>
      </c>
    </row>
    <row r="275" spans="1:8" x14ac:dyDescent="0.25">
      <c r="A275" s="73">
        <f t="shared" si="98"/>
        <v>46296</v>
      </c>
      <c r="B275" s="72">
        <f t="shared" si="99"/>
        <v>5</v>
      </c>
      <c r="C275" s="72" t="str">
        <f t="shared" si="92"/>
        <v>quinta-feira</v>
      </c>
      <c r="D275" s="78" t="str">
        <f t="shared" si="91"/>
        <v/>
      </c>
      <c r="E275" s="72" t="str">
        <f t="shared" si="96"/>
        <v>Sim</v>
      </c>
      <c r="F275" s="72">
        <f>IF(E275="Sim", COUNTIFS($E$2:E275, "Sim", $A$2:A275, "&gt;="&amp;DATE(YEAR(A275), MONTH(A275), 1)), "")</f>
        <v>1</v>
      </c>
      <c r="G275" s="72">
        <f t="shared" si="97"/>
        <v>40</v>
      </c>
      <c r="H275" s="72" t="str">
        <f t="shared" si="93"/>
        <v>10|1</v>
      </c>
    </row>
    <row r="276" spans="1:8" x14ac:dyDescent="0.25">
      <c r="A276" s="73">
        <f t="shared" si="98"/>
        <v>46297</v>
      </c>
      <c r="B276" s="72">
        <f t="shared" si="99"/>
        <v>6</v>
      </c>
      <c r="C276" s="72" t="str">
        <f t="shared" si="92"/>
        <v>sexta-feira</v>
      </c>
      <c r="D276" s="78" t="str">
        <f t="shared" si="91"/>
        <v/>
      </c>
      <c r="E276" s="72" t="str">
        <f t="shared" si="96"/>
        <v>Sim</v>
      </c>
      <c r="F276" s="72">
        <f>IF(E276="Sim", COUNTIFS($E$2:E276, "Sim", $A$2:A276, "&gt;="&amp;DATE(YEAR(A276), MONTH(A276), 1)), "")</f>
        <v>2</v>
      </c>
      <c r="G276" s="72">
        <f t="shared" si="97"/>
        <v>40</v>
      </c>
      <c r="H276" s="72" t="str">
        <f t="shared" si="93"/>
        <v>10|2</v>
      </c>
    </row>
    <row r="277" spans="1:8" x14ac:dyDescent="0.25">
      <c r="A277" s="73">
        <f t="shared" si="98"/>
        <v>46298</v>
      </c>
      <c r="B277" s="72">
        <f t="shared" si="99"/>
        <v>7</v>
      </c>
      <c r="C277" s="72" t="str">
        <f t="shared" si="92"/>
        <v>sábado</v>
      </c>
      <c r="D277" s="78" t="str">
        <f t="shared" si="91"/>
        <v/>
      </c>
      <c r="E277" s="72" t="str">
        <f t="shared" si="96"/>
        <v>Não</v>
      </c>
      <c r="F277" s="72" t="str">
        <f>IF(E277="Sim", COUNTIFS($E$2:E277, "Sim", $A$2:A277, "&gt;="&amp;DATE(YEAR(A277), MONTH(A277), 1)), "")</f>
        <v/>
      </c>
      <c r="G277" s="72">
        <f t="shared" si="97"/>
        <v>40</v>
      </c>
      <c r="H277" s="72" t="str">
        <f t="shared" si="93"/>
        <v/>
      </c>
    </row>
    <row r="278" spans="1:8" x14ac:dyDescent="0.25">
      <c r="A278" s="79">
        <f t="shared" ref="A278:A284" si="100">A277+1</f>
        <v>46299</v>
      </c>
      <c r="B278" s="80">
        <f t="shared" ref="B278:B284" si="101">WEEKDAY(A278,1)</f>
        <v>1</v>
      </c>
      <c r="C278" s="80" t="str">
        <f t="shared" si="92"/>
        <v>domingo</v>
      </c>
      <c r="D278" s="81" t="str">
        <f t="shared" si="91"/>
        <v/>
      </c>
      <c r="E278" s="80" t="str">
        <f t="shared" si="96"/>
        <v>Não</v>
      </c>
      <c r="F278" s="80" t="str">
        <f>IF(E278="Sim", COUNTIFS($E$2:E278, "Sim", $A$2:A278, "&gt;="&amp;DATE(YEAR(A278), MONTH(A278), 1)), "")</f>
        <v/>
      </c>
      <c r="G278" s="80">
        <f t="shared" si="97"/>
        <v>41</v>
      </c>
      <c r="H278" s="80" t="str">
        <f t="shared" si="93"/>
        <v/>
      </c>
    </row>
    <row r="279" spans="1:8" x14ac:dyDescent="0.25">
      <c r="A279" s="79">
        <f t="shared" si="100"/>
        <v>46300</v>
      </c>
      <c r="B279" s="80">
        <f t="shared" si="101"/>
        <v>2</v>
      </c>
      <c r="C279" s="80" t="str">
        <f t="shared" si="92"/>
        <v>segunda-feira</v>
      </c>
      <c r="D279" s="81" t="str">
        <f t="shared" si="91"/>
        <v/>
      </c>
      <c r="E279" s="80" t="str">
        <f t="shared" si="96"/>
        <v>Sim</v>
      </c>
      <c r="F279" s="80">
        <f>IF(E279="Sim", COUNTIFS($E$2:E279, "Sim", $A$2:A279, "&gt;="&amp;DATE(YEAR(A279), MONTH(A279), 1)), "")</f>
        <v>3</v>
      </c>
      <c r="G279" s="80">
        <f t="shared" si="97"/>
        <v>41</v>
      </c>
      <c r="H279" s="80" t="str">
        <f t="shared" si="93"/>
        <v>10|3</v>
      </c>
    </row>
    <row r="280" spans="1:8" x14ac:dyDescent="0.25">
      <c r="A280" s="79">
        <f t="shared" si="100"/>
        <v>46301</v>
      </c>
      <c r="B280" s="80">
        <f t="shared" si="101"/>
        <v>3</v>
      </c>
      <c r="C280" s="80" t="str">
        <f t="shared" si="92"/>
        <v>terça-feira</v>
      </c>
      <c r="D280" s="81" t="str">
        <f t="shared" si="91"/>
        <v/>
      </c>
      <c r="E280" s="80" t="str">
        <f t="shared" si="96"/>
        <v>Sim</v>
      </c>
      <c r="F280" s="80">
        <f>IF(E280="Sim", COUNTIFS($E$2:E280, "Sim", $A$2:A280, "&gt;="&amp;DATE(YEAR(A280), MONTH(A280), 1)), "")</f>
        <v>4</v>
      </c>
      <c r="G280" s="80">
        <f t="shared" si="97"/>
        <v>41</v>
      </c>
      <c r="H280" s="80" t="str">
        <f t="shared" si="93"/>
        <v>10|4</v>
      </c>
    </row>
    <row r="281" spans="1:8" x14ac:dyDescent="0.25">
      <c r="A281" s="79">
        <f t="shared" si="100"/>
        <v>46302</v>
      </c>
      <c r="B281" s="80">
        <f t="shared" si="101"/>
        <v>4</v>
      </c>
      <c r="C281" s="80" t="str">
        <f t="shared" si="92"/>
        <v>quarta-feira</v>
      </c>
      <c r="D281" s="81" t="str">
        <f t="shared" si="91"/>
        <v/>
      </c>
      <c r="E281" s="80" t="str">
        <f t="shared" si="96"/>
        <v>Sim</v>
      </c>
      <c r="F281" s="80">
        <f>IF(E281="Sim", COUNTIFS($E$2:E281, "Sim", $A$2:A281, "&gt;="&amp;DATE(YEAR(A281), MONTH(A281), 1)), "")</f>
        <v>5</v>
      </c>
      <c r="G281" s="80">
        <f t="shared" si="97"/>
        <v>41</v>
      </c>
      <c r="H281" s="80" t="str">
        <f t="shared" si="93"/>
        <v>10|5</v>
      </c>
    </row>
    <row r="282" spans="1:8" x14ac:dyDescent="0.25">
      <c r="A282" s="79">
        <f t="shared" si="100"/>
        <v>46303</v>
      </c>
      <c r="B282" s="80">
        <f t="shared" si="101"/>
        <v>5</v>
      </c>
      <c r="C282" s="80" t="str">
        <f t="shared" si="92"/>
        <v>quinta-feira</v>
      </c>
      <c r="D282" s="81" t="str">
        <f t="shared" si="91"/>
        <v/>
      </c>
      <c r="E282" s="80" t="str">
        <f t="shared" si="96"/>
        <v>Sim</v>
      </c>
      <c r="F282" s="80">
        <f>IF(E282="Sim", COUNTIFS($E$2:E282, "Sim", $A$2:A282, "&gt;="&amp;DATE(YEAR(A282), MONTH(A282), 1)), "")</f>
        <v>6</v>
      </c>
      <c r="G282" s="80">
        <f t="shared" si="97"/>
        <v>41</v>
      </c>
      <c r="H282" s="80" t="str">
        <f t="shared" si="93"/>
        <v>10|6</v>
      </c>
    </row>
    <row r="283" spans="1:8" x14ac:dyDescent="0.25">
      <c r="A283" s="79">
        <f t="shared" si="100"/>
        <v>46304</v>
      </c>
      <c r="B283" s="80">
        <f t="shared" si="101"/>
        <v>6</v>
      </c>
      <c r="C283" s="80" t="str">
        <f t="shared" si="92"/>
        <v>sexta-feira</v>
      </c>
      <c r="D283" s="81" t="str">
        <f t="shared" si="91"/>
        <v/>
      </c>
      <c r="E283" s="80" t="str">
        <f t="shared" si="96"/>
        <v>Sim</v>
      </c>
      <c r="F283" s="80">
        <f>IF(E283="Sim", COUNTIFS($E$2:E283, "Sim", $A$2:A283, "&gt;="&amp;DATE(YEAR(A283), MONTH(A283), 1)), "")</f>
        <v>7</v>
      </c>
      <c r="G283" s="80">
        <f t="shared" si="97"/>
        <v>41</v>
      </c>
      <c r="H283" s="80" t="str">
        <f t="shared" si="93"/>
        <v>10|7</v>
      </c>
    </row>
    <row r="284" spans="1:8" x14ac:dyDescent="0.25">
      <c r="A284" s="79">
        <f t="shared" si="100"/>
        <v>46305</v>
      </c>
      <c r="B284" s="80">
        <f t="shared" si="101"/>
        <v>7</v>
      </c>
      <c r="C284" s="80" t="str">
        <f t="shared" si="92"/>
        <v>sábado</v>
      </c>
      <c r="D284" s="81" t="str">
        <f t="shared" si="91"/>
        <v/>
      </c>
      <c r="E284" s="80" t="str">
        <f t="shared" si="96"/>
        <v>Não</v>
      </c>
      <c r="F284" s="80" t="str">
        <f>IF(E284="Sim", COUNTIFS($E$2:E284, "Sim", $A$2:A284, "&gt;="&amp;DATE(YEAR(A284), MONTH(A284), 1)), "")</f>
        <v/>
      </c>
      <c r="G284" s="80">
        <f t="shared" si="97"/>
        <v>41</v>
      </c>
      <c r="H284" s="80" t="str">
        <f t="shared" si="93"/>
        <v/>
      </c>
    </row>
    <row r="285" spans="1:8" x14ac:dyDescent="0.25">
      <c r="A285" s="73">
        <f t="shared" ref="A285:A291" si="102">A284+1</f>
        <v>46306</v>
      </c>
      <c r="B285" s="72">
        <f t="shared" ref="B285:B291" si="103">WEEKDAY(A285,1)</f>
        <v>1</v>
      </c>
      <c r="C285" s="72" t="str">
        <f t="shared" si="92"/>
        <v>domingo</v>
      </c>
      <c r="D285" s="78" t="str">
        <f t="shared" si="91"/>
        <v/>
      </c>
      <c r="E285" s="72" t="str">
        <f t="shared" si="96"/>
        <v>Não</v>
      </c>
      <c r="F285" s="72" t="str">
        <f>IF(E285="Sim", COUNTIFS($E$2:E285, "Sim", $A$2:A285, "&gt;="&amp;DATE(YEAR(A285), MONTH(A285), 1)), "")</f>
        <v/>
      </c>
      <c r="G285" s="72">
        <f t="shared" si="97"/>
        <v>42</v>
      </c>
      <c r="H285" s="72" t="str">
        <f t="shared" si="93"/>
        <v/>
      </c>
    </row>
    <row r="286" spans="1:8" x14ac:dyDescent="0.25">
      <c r="A286" s="73">
        <f t="shared" si="102"/>
        <v>46307</v>
      </c>
      <c r="B286" s="72">
        <f t="shared" si="103"/>
        <v>2</v>
      </c>
      <c r="C286" s="72" t="str">
        <f t="shared" si="92"/>
        <v>segunda-feira</v>
      </c>
      <c r="D286" s="78" t="str">
        <f t="shared" si="91"/>
        <v>Sim</v>
      </c>
      <c r="E286" s="72" t="str">
        <f t="shared" si="96"/>
        <v>Não</v>
      </c>
      <c r="F286" s="72" t="str">
        <f>IF(E286="Sim", COUNTIFS($E$2:E286, "Sim", $A$2:A286, "&gt;="&amp;DATE(YEAR(A286), MONTH(A286), 1)), "")</f>
        <v/>
      </c>
      <c r="G286" s="72">
        <f t="shared" si="97"/>
        <v>42</v>
      </c>
      <c r="H286" s="72" t="str">
        <f t="shared" si="93"/>
        <v/>
      </c>
    </row>
    <row r="287" spans="1:8" x14ac:dyDescent="0.25">
      <c r="A287" s="73">
        <f t="shared" si="102"/>
        <v>46308</v>
      </c>
      <c r="B287" s="72">
        <f t="shared" si="103"/>
        <v>3</v>
      </c>
      <c r="C287" s="72" t="str">
        <f t="shared" si="92"/>
        <v>terça-feira</v>
      </c>
      <c r="D287" s="78" t="str">
        <f t="shared" si="91"/>
        <v/>
      </c>
      <c r="E287" s="72" t="str">
        <f t="shared" si="96"/>
        <v>Sim</v>
      </c>
      <c r="F287" s="72">
        <f>IF(E287="Sim", COUNTIFS($E$2:E287, "Sim", $A$2:A287, "&gt;="&amp;DATE(YEAR(A287), MONTH(A287), 1)), "")</f>
        <v>8</v>
      </c>
      <c r="G287" s="72">
        <f t="shared" si="97"/>
        <v>42</v>
      </c>
      <c r="H287" s="72" t="str">
        <f t="shared" si="93"/>
        <v>10|8</v>
      </c>
    </row>
    <row r="288" spans="1:8" x14ac:dyDescent="0.25">
      <c r="A288" s="73">
        <f t="shared" si="102"/>
        <v>46309</v>
      </c>
      <c r="B288" s="72">
        <f t="shared" si="103"/>
        <v>4</v>
      </c>
      <c r="C288" s="72" t="str">
        <f t="shared" si="92"/>
        <v>quarta-feira</v>
      </c>
      <c r="D288" s="78" t="str">
        <f t="shared" si="91"/>
        <v/>
      </c>
      <c r="E288" s="72" t="str">
        <f t="shared" si="96"/>
        <v>Sim</v>
      </c>
      <c r="F288" s="72">
        <f>IF(E288="Sim", COUNTIFS($E$2:E288, "Sim", $A$2:A288, "&gt;="&amp;DATE(YEAR(A288), MONTH(A288), 1)), "")</f>
        <v>9</v>
      </c>
      <c r="G288" s="72">
        <f t="shared" si="97"/>
        <v>42</v>
      </c>
      <c r="H288" s="72" t="str">
        <f t="shared" si="93"/>
        <v>10|9</v>
      </c>
    </row>
    <row r="289" spans="1:8" x14ac:dyDescent="0.25">
      <c r="A289" s="73">
        <f t="shared" si="102"/>
        <v>46310</v>
      </c>
      <c r="B289" s="72">
        <f t="shared" si="103"/>
        <v>5</v>
      </c>
      <c r="C289" s="72" t="str">
        <f t="shared" si="92"/>
        <v>quinta-feira</v>
      </c>
      <c r="D289" s="78" t="str">
        <f t="shared" si="91"/>
        <v/>
      </c>
      <c r="E289" s="72" t="str">
        <f t="shared" si="96"/>
        <v>Sim</v>
      </c>
      <c r="F289" s="72">
        <f>IF(E289="Sim", COUNTIFS($E$2:E289, "Sim", $A$2:A289, "&gt;="&amp;DATE(YEAR(A289), MONTH(A289), 1)), "")</f>
        <v>10</v>
      </c>
      <c r="G289" s="72">
        <f t="shared" si="97"/>
        <v>42</v>
      </c>
      <c r="H289" s="72" t="str">
        <f t="shared" si="93"/>
        <v>10|10</v>
      </c>
    </row>
    <row r="290" spans="1:8" x14ac:dyDescent="0.25">
      <c r="A290" s="73">
        <f t="shared" si="102"/>
        <v>46311</v>
      </c>
      <c r="B290" s="72">
        <f t="shared" si="103"/>
        <v>6</v>
      </c>
      <c r="C290" s="72" t="str">
        <f t="shared" si="92"/>
        <v>sexta-feira</v>
      </c>
      <c r="D290" s="78" t="str">
        <f t="shared" si="91"/>
        <v/>
      </c>
      <c r="E290" s="72" t="str">
        <f t="shared" si="96"/>
        <v>Sim</v>
      </c>
      <c r="F290" s="72">
        <f>IF(E290="Sim", COUNTIFS($E$2:E290, "Sim", $A$2:A290, "&gt;="&amp;DATE(YEAR(A290), MONTH(A290), 1)), "")</f>
        <v>11</v>
      </c>
      <c r="G290" s="72">
        <f t="shared" si="97"/>
        <v>42</v>
      </c>
      <c r="H290" s="72" t="str">
        <f t="shared" si="93"/>
        <v>10|11</v>
      </c>
    </row>
    <row r="291" spans="1:8" x14ac:dyDescent="0.25">
      <c r="A291" s="73">
        <f t="shared" si="102"/>
        <v>46312</v>
      </c>
      <c r="B291" s="72">
        <f t="shared" si="103"/>
        <v>7</v>
      </c>
      <c r="C291" s="72" t="str">
        <f t="shared" si="92"/>
        <v>sábado</v>
      </c>
      <c r="D291" s="78" t="str">
        <f t="shared" si="91"/>
        <v/>
      </c>
      <c r="E291" s="72" t="str">
        <f t="shared" si="96"/>
        <v>Não</v>
      </c>
      <c r="F291" s="72" t="str">
        <f>IF(E291="Sim", COUNTIFS($E$2:E291, "Sim", $A$2:A291, "&gt;="&amp;DATE(YEAR(A291), MONTH(A291), 1)), "")</f>
        <v/>
      </c>
      <c r="G291" s="72">
        <f t="shared" si="97"/>
        <v>42</v>
      </c>
      <c r="H291" s="72" t="str">
        <f t="shared" si="93"/>
        <v/>
      </c>
    </row>
    <row r="292" spans="1:8" x14ac:dyDescent="0.25">
      <c r="A292" s="79">
        <f t="shared" ref="A292:A298" si="104">A291+1</f>
        <v>46313</v>
      </c>
      <c r="B292" s="80">
        <f t="shared" ref="B292:B312" si="105">WEEKDAY(A292,1)</f>
        <v>1</v>
      </c>
      <c r="C292" s="80" t="str">
        <f t="shared" si="92"/>
        <v>domingo</v>
      </c>
      <c r="D292" s="81" t="str">
        <f t="shared" si="91"/>
        <v/>
      </c>
      <c r="E292" s="80" t="str">
        <f t="shared" si="96"/>
        <v>Não</v>
      </c>
      <c r="F292" s="80" t="str">
        <f>IF(E292="Sim", COUNTIFS($E$2:E292, "Sim", $A$2:A292, "&gt;="&amp;DATE(YEAR(A292), MONTH(A292), 1)), "")</f>
        <v/>
      </c>
      <c r="G292" s="80">
        <f t="shared" si="97"/>
        <v>43</v>
      </c>
      <c r="H292" s="80" t="str">
        <f t="shared" si="93"/>
        <v/>
      </c>
    </row>
    <row r="293" spans="1:8" x14ac:dyDescent="0.25">
      <c r="A293" s="79">
        <f t="shared" si="104"/>
        <v>46314</v>
      </c>
      <c r="B293" s="80">
        <f t="shared" si="105"/>
        <v>2</v>
      </c>
      <c r="C293" s="80" t="str">
        <f t="shared" si="92"/>
        <v>segunda-feira</v>
      </c>
      <c r="D293" s="81" t="str">
        <f t="shared" si="91"/>
        <v/>
      </c>
      <c r="E293" s="80" t="str">
        <f t="shared" si="96"/>
        <v>Sim</v>
      </c>
      <c r="F293" s="80">
        <f>IF(E293="Sim", COUNTIFS($E$2:E293, "Sim", $A$2:A293, "&gt;="&amp;DATE(YEAR(A293), MONTH(A293), 1)), "")</f>
        <v>12</v>
      </c>
      <c r="G293" s="80">
        <f t="shared" si="97"/>
        <v>43</v>
      </c>
      <c r="H293" s="80" t="str">
        <f t="shared" si="93"/>
        <v>10|12</v>
      </c>
    </row>
    <row r="294" spans="1:8" x14ac:dyDescent="0.25">
      <c r="A294" s="79">
        <f t="shared" si="104"/>
        <v>46315</v>
      </c>
      <c r="B294" s="80">
        <f t="shared" si="105"/>
        <v>3</v>
      </c>
      <c r="C294" s="80" t="str">
        <f t="shared" si="92"/>
        <v>terça-feira</v>
      </c>
      <c r="D294" s="81" t="str">
        <f t="shared" si="91"/>
        <v/>
      </c>
      <c r="E294" s="80" t="str">
        <f t="shared" si="96"/>
        <v>Sim</v>
      </c>
      <c r="F294" s="80">
        <f>IF(E294="Sim", COUNTIFS($E$2:E294, "Sim", $A$2:A294, "&gt;="&amp;DATE(YEAR(A294), MONTH(A294), 1)), "")</f>
        <v>13</v>
      </c>
      <c r="G294" s="80">
        <f t="shared" si="97"/>
        <v>43</v>
      </c>
      <c r="H294" s="80" t="str">
        <f t="shared" si="93"/>
        <v>10|13</v>
      </c>
    </row>
    <row r="295" spans="1:8" x14ac:dyDescent="0.25">
      <c r="A295" s="79">
        <f t="shared" si="104"/>
        <v>46316</v>
      </c>
      <c r="B295" s="80">
        <f t="shared" si="105"/>
        <v>4</v>
      </c>
      <c r="C295" s="80" t="str">
        <f t="shared" si="92"/>
        <v>quarta-feira</v>
      </c>
      <c r="D295" s="81" t="str">
        <f t="shared" si="91"/>
        <v/>
      </c>
      <c r="E295" s="80" t="str">
        <f t="shared" si="96"/>
        <v>Sim</v>
      </c>
      <c r="F295" s="80">
        <f>IF(E295="Sim", COUNTIFS($E$2:E295, "Sim", $A$2:A295, "&gt;="&amp;DATE(YEAR(A295), MONTH(A295), 1)), "")</f>
        <v>14</v>
      </c>
      <c r="G295" s="80">
        <f t="shared" si="97"/>
        <v>43</v>
      </c>
      <c r="H295" s="80" t="str">
        <f t="shared" si="93"/>
        <v>10|14</v>
      </c>
    </row>
    <row r="296" spans="1:8" x14ac:dyDescent="0.25">
      <c r="A296" s="79">
        <f t="shared" si="104"/>
        <v>46317</v>
      </c>
      <c r="B296" s="80">
        <f t="shared" si="105"/>
        <v>5</v>
      </c>
      <c r="C296" s="80" t="str">
        <f t="shared" si="92"/>
        <v>quinta-feira</v>
      </c>
      <c r="D296" s="81" t="str">
        <f t="shared" si="91"/>
        <v/>
      </c>
      <c r="E296" s="80" t="str">
        <f t="shared" si="96"/>
        <v>Sim</v>
      </c>
      <c r="F296" s="80">
        <f>IF(E296="Sim", COUNTIFS($E$2:E296, "Sim", $A$2:A296, "&gt;="&amp;DATE(YEAR(A296), MONTH(A296), 1)), "")</f>
        <v>15</v>
      </c>
      <c r="G296" s="80">
        <f t="shared" si="97"/>
        <v>43</v>
      </c>
      <c r="H296" s="80" t="str">
        <f t="shared" si="93"/>
        <v>10|15</v>
      </c>
    </row>
    <row r="297" spans="1:8" x14ac:dyDescent="0.25">
      <c r="A297" s="79">
        <f t="shared" si="104"/>
        <v>46318</v>
      </c>
      <c r="B297" s="80">
        <f t="shared" si="105"/>
        <v>6</v>
      </c>
      <c r="C297" s="80" t="str">
        <f t="shared" si="92"/>
        <v>sexta-feira</v>
      </c>
      <c r="D297" s="81" t="str">
        <f t="shared" si="91"/>
        <v/>
      </c>
      <c r="E297" s="80" t="str">
        <f t="shared" si="96"/>
        <v>Sim</v>
      </c>
      <c r="F297" s="80">
        <f>IF(E297="Sim", COUNTIFS($E$2:E297, "Sim", $A$2:A297, "&gt;="&amp;DATE(YEAR(A297), MONTH(A297), 1)), "")</f>
        <v>16</v>
      </c>
      <c r="G297" s="80">
        <f t="shared" si="97"/>
        <v>43</v>
      </c>
      <c r="H297" s="80" t="str">
        <f t="shared" si="93"/>
        <v>10|16</v>
      </c>
    </row>
    <row r="298" spans="1:8" x14ac:dyDescent="0.25">
      <c r="A298" s="79">
        <f t="shared" si="104"/>
        <v>46319</v>
      </c>
      <c r="B298" s="80">
        <f t="shared" si="105"/>
        <v>7</v>
      </c>
      <c r="C298" s="80" t="str">
        <f t="shared" si="92"/>
        <v>sábado</v>
      </c>
      <c r="D298" s="81" t="str">
        <f t="shared" si="91"/>
        <v>Sim</v>
      </c>
      <c r="E298" s="80" t="str">
        <f t="shared" si="96"/>
        <v>Não</v>
      </c>
      <c r="F298" s="80" t="str">
        <f>IF(E298="Sim", COUNTIFS($E$2:E298, "Sim", $A$2:A298, "&gt;="&amp;DATE(YEAR(A298), MONTH(A298), 1)), "")</f>
        <v/>
      </c>
      <c r="G298" s="80">
        <f t="shared" si="97"/>
        <v>43</v>
      </c>
      <c r="H298" s="80" t="str">
        <f t="shared" si="93"/>
        <v/>
      </c>
    </row>
    <row r="299" spans="1:8" x14ac:dyDescent="0.25">
      <c r="A299" s="73">
        <f t="shared" ref="A299:A305" si="106">A298+1</f>
        <v>46320</v>
      </c>
      <c r="B299" s="72">
        <f t="shared" ref="B299:B305" si="107">WEEKDAY(A299,1)</f>
        <v>1</v>
      </c>
      <c r="C299" s="72" t="str">
        <f t="shared" si="92"/>
        <v>domingo</v>
      </c>
      <c r="D299" s="78" t="str">
        <f t="shared" si="91"/>
        <v/>
      </c>
      <c r="E299" s="72" t="str">
        <f t="shared" si="96"/>
        <v>Não</v>
      </c>
      <c r="F299" s="72" t="str">
        <f>IF(E299="Sim", COUNTIFS($E$2:E299, "Sim", $A$2:A299, "&gt;="&amp;DATE(YEAR(A299), MONTH(A299), 1)), "")</f>
        <v/>
      </c>
      <c r="G299" s="72">
        <f t="shared" si="97"/>
        <v>44</v>
      </c>
      <c r="H299" s="72" t="str">
        <f t="shared" si="93"/>
        <v/>
      </c>
    </row>
    <row r="300" spans="1:8" x14ac:dyDescent="0.25">
      <c r="A300" s="73">
        <f t="shared" si="106"/>
        <v>46321</v>
      </c>
      <c r="B300" s="72">
        <f t="shared" si="107"/>
        <v>2</v>
      </c>
      <c r="C300" s="72" t="str">
        <f t="shared" si="92"/>
        <v>segunda-feira</v>
      </c>
      <c r="D300" s="78" t="str">
        <f t="shared" si="91"/>
        <v/>
      </c>
      <c r="E300" s="72" t="str">
        <f t="shared" si="96"/>
        <v>Sim</v>
      </c>
      <c r="F300" s="72">
        <f>IF(E300="Sim", COUNTIFS($E$2:E300, "Sim", $A$2:A300, "&gt;="&amp;DATE(YEAR(A300), MONTH(A300), 1)), "")</f>
        <v>17</v>
      </c>
      <c r="G300" s="72">
        <f t="shared" si="97"/>
        <v>44</v>
      </c>
      <c r="H300" s="72" t="str">
        <f t="shared" si="93"/>
        <v>10|17</v>
      </c>
    </row>
    <row r="301" spans="1:8" x14ac:dyDescent="0.25">
      <c r="A301" s="73">
        <f t="shared" si="106"/>
        <v>46322</v>
      </c>
      <c r="B301" s="72">
        <f t="shared" si="107"/>
        <v>3</v>
      </c>
      <c r="C301" s="72" t="str">
        <f t="shared" si="92"/>
        <v>terça-feira</v>
      </c>
      <c r="D301" s="78" t="str">
        <f t="shared" si="91"/>
        <v/>
      </c>
      <c r="E301" s="72" t="str">
        <f t="shared" si="96"/>
        <v>Sim</v>
      </c>
      <c r="F301" s="72">
        <f>IF(E301="Sim", COUNTIFS($E$2:E301, "Sim", $A$2:A301, "&gt;="&amp;DATE(YEAR(A301), MONTH(A301), 1)), "")</f>
        <v>18</v>
      </c>
      <c r="G301" s="72">
        <f t="shared" si="97"/>
        <v>44</v>
      </c>
      <c r="H301" s="72" t="str">
        <f t="shared" si="93"/>
        <v>10|18</v>
      </c>
    </row>
    <row r="302" spans="1:8" x14ac:dyDescent="0.25">
      <c r="A302" s="73">
        <f t="shared" si="106"/>
        <v>46323</v>
      </c>
      <c r="B302" s="72">
        <f t="shared" si="107"/>
        <v>4</v>
      </c>
      <c r="C302" s="72" t="str">
        <f t="shared" si="92"/>
        <v>quarta-feira</v>
      </c>
      <c r="D302" s="78" t="str">
        <f t="shared" si="91"/>
        <v>Sim</v>
      </c>
      <c r="E302" s="72" t="str">
        <f t="shared" si="96"/>
        <v>Não</v>
      </c>
      <c r="F302" s="72" t="str">
        <f>IF(E302="Sim", COUNTIFS($E$2:E302, "Sim", $A$2:A302, "&gt;="&amp;DATE(YEAR(A302), MONTH(A302), 1)), "")</f>
        <v/>
      </c>
      <c r="G302" s="72">
        <f t="shared" si="97"/>
        <v>44</v>
      </c>
      <c r="H302" s="72" t="str">
        <f t="shared" si="93"/>
        <v/>
      </c>
    </row>
    <row r="303" spans="1:8" x14ac:dyDescent="0.25">
      <c r="A303" s="73">
        <f t="shared" si="106"/>
        <v>46324</v>
      </c>
      <c r="B303" s="72">
        <f t="shared" si="107"/>
        <v>5</v>
      </c>
      <c r="C303" s="72" t="str">
        <f t="shared" si="92"/>
        <v>quinta-feira</v>
      </c>
      <c r="D303" s="78" t="str">
        <f t="shared" si="91"/>
        <v/>
      </c>
      <c r="E303" s="72" t="str">
        <f t="shared" si="96"/>
        <v>Sim</v>
      </c>
      <c r="F303" s="72">
        <f>IF(E303="Sim", COUNTIFS($E$2:E303, "Sim", $A$2:A303, "&gt;="&amp;DATE(YEAR(A303), MONTH(A303), 1)), "")</f>
        <v>19</v>
      </c>
      <c r="G303" s="72">
        <f t="shared" si="97"/>
        <v>44</v>
      </c>
      <c r="H303" s="72" t="str">
        <f t="shared" si="93"/>
        <v>10|19</v>
      </c>
    </row>
    <row r="304" spans="1:8" x14ac:dyDescent="0.25">
      <c r="A304" s="73">
        <f t="shared" si="106"/>
        <v>46325</v>
      </c>
      <c r="B304" s="72">
        <f t="shared" si="107"/>
        <v>6</v>
      </c>
      <c r="C304" s="72" t="str">
        <f t="shared" si="92"/>
        <v>sexta-feira</v>
      </c>
      <c r="D304" s="78" t="str">
        <f t="shared" si="91"/>
        <v/>
      </c>
      <c r="E304" s="72" t="str">
        <f t="shared" si="96"/>
        <v>Sim</v>
      </c>
      <c r="F304" s="72">
        <f>IF(E304="Sim", COUNTIFS($E$2:E304, "Sim", $A$2:A304, "&gt;="&amp;DATE(YEAR(A304), MONTH(A304), 1)), "")</f>
        <v>20</v>
      </c>
      <c r="G304" s="72">
        <f t="shared" si="97"/>
        <v>44</v>
      </c>
      <c r="H304" s="72" t="str">
        <f t="shared" si="93"/>
        <v>10|20</v>
      </c>
    </row>
    <row r="305" spans="1:8" x14ac:dyDescent="0.25">
      <c r="A305" s="73">
        <f t="shared" si="106"/>
        <v>46326</v>
      </c>
      <c r="B305" s="72">
        <f t="shared" si="107"/>
        <v>7</v>
      </c>
      <c r="C305" s="72" t="str">
        <f t="shared" si="92"/>
        <v>sábado</v>
      </c>
      <c r="D305" s="78" t="str">
        <f t="shared" si="91"/>
        <v/>
      </c>
      <c r="E305" s="72" t="str">
        <f t="shared" si="96"/>
        <v>Não</v>
      </c>
      <c r="F305" s="72" t="str">
        <f>IF(E305="Sim", COUNTIFS($E$2:E305, "Sim", $A$2:A305, "&gt;="&amp;DATE(YEAR(A305), MONTH(A305), 1)), "")</f>
        <v/>
      </c>
      <c r="G305" s="72">
        <f t="shared" si="97"/>
        <v>44</v>
      </c>
      <c r="H305" s="72" t="str">
        <f t="shared" si="93"/>
        <v/>
      </c>
    </row>
    <row r="306" spans="1:8" x14ac:dyDescent="0.25">
      <c r="A306" s="79">
        <f t="shared" ref="A306:A312" si="108">A305+1</f>
        <v>46327</v>
      </c>
      <c r="B306" s="80">
        <f t="shared" si="105"/>
        <v>1</v>
      </c>
      <c r="C306" s="80" t="str">
        <f t="shared" si="92"/>
        <v>domingo</v>
      </c>
      <c r="D306" s="81" t="str">
        <f t="shared" si="91"/>
        <v/>
      </c>
      <c r="E306" s="80" t="str">
        <f t="shared" si="96"/>
        <v>Não</v>
      </c>
      <c r="F306" s="80" t="str">
        <f>IF(E306="Sim", COUNTIFS($E$2:E306, "Sim", $A$2:A306, "&gt;="&amp;DATE(YEAR(A306), MONTH(A306), 1)), "")</f>
        <v/>
      </c>
      <c r="G306" s="80">
        <f t="shared" si="97"/>
        <v>45</v>
      </c>
      <c r="H306" s="80" t="str">
        <f t="shared" si="93"/>
        <v/>
      </c>
    </row>
    <row r="307" spans="1:8" x14ac:dyDescent="0.25">
      <c r="A307" s="79">
        <f t="shared" si="108"/>
        <v>46328</v>
      </c>
      <c r="B307" s="80">
        <f t="shared" si="105"/>
        <v>2</v>
      </c>
      <c r="C307" s="80" t="str">
        <f t="shared" si="92"/>
        <v>segunda-feira</v>
      </c>
      <c r="D307" s="81" t="str">
        <f t="shared" si="91"/>
        <v>Sim</v>
      </c>
      <c r="E307" s="80" t="str">
        <f t="shared" si="96"/>
        <v>Não</v>
      </c>
      <c r="F307" s="80" t="str">
        <f>IF(E307="Sim", COUNTIFS($E$2:E307, "Sim", $A$2:A307, "&gt;="&amp;DATE(YEAR(A307), MONTH(A307), 1)), "")</f>
        <v/>
      </c>
      <c r="G307" s="80">
        <f t="shared" si="97"/>
        <v>45</v>
      </c>
      <c r="H307" s="80" t="str">
        <f t="shared" si="93"/>
        <v/>
      </c>
    </row>
    <row r="308" spans="1:8" x14ac:dyDescent="0.25">
      <c r="A308" s="79">
        <f t="shared" si="108"/>
        <v>46329</v>
      </c>
      <c r="B308" s="80">
        <f t="shared" si="105"/>
        <v>3</v>
      </c>
      <c r="C308" s="80" t="str">
        <f t="shared" si="92"/>
        <v>terça-feira</v>
      </c>
      <c r="D308" s="81" t="str">
        <f t="shared" si="91"/>
        <v/>
      </c>
      <c r="E308" s="80" t="str">
        <f t="shared" si="96"/>
        <v>Sim</v>
      </c>
      <c r="F308" s="80">
        <f>IF(E308="Sim", COUNTIFS($E$2:E308, "Sim", $A$2:A308, "&gt;="&amp;DATE(YEAR(A308), MONTH(A308), 1)), "")</f>
        <v>1</v>
      </c>
      <c r="G308" s="80">
        <f t="shared" si="97"/>
        <v>45</v>
      </c>
      <c r="H308" s="80" t="str">
        <f t="shared" si="93"/>
        <v>11|1</v>
      </c>
    </row>
    <row r="309" spans="1:8" x14ac:dyDescent="0.25">
      <c r="A309" s="79">
        <f t="shared" si="108"/>
        <v>46330</v>
      </c>
      <c r="B309" s="80">
        <f t="shared" si="105"/>
        <v>4</v>
      </c>
      <c r="C309" s="80" t="str">
        <f t="shared" si="92"/>
        <v>quarta-feira</v>
      </c>
      <c r="D309" s="81" t="str">
        <f t="shared" si="91"/>
        <v/>
      </c>
      <c r="E309" s="80" t="str">
        <f t="shared" si="96"/>
        <v>Sim</v>
      </c>
      <c r="F309" s="80">
        <f>IF(E309="Sim", COUNTIFS($E$2:E309, "Sim", $A$2:A309, "&gt;="&amp;DATE(YEAR(A309), MONTH(A309), 1)), "")</f>
        <v>2</v>
      </c>
      <c r="G309" s="80">
        <f t="shared" si="97"/>
        <v>45</v>
      </c>
      <c r="H309" s="80" t="str">
        <f t="shared" si="93"/>
        <v>11|2</v>
      </c>
    </row>
    <row r="310" spans="1:8" x14ac:dyDescent="0.25">
      <c r="A310" s="79">
        <f t="shared" si="108"/>
        <v>46331</v>
      </c>
      <c r="B310" s="80">
        <f t="shared" si="105"/>
        <v>5</v>
      </c>
      <c r="C310" s="80" t="str">
        <f t="shared" si="92"/>
        <v>quinta-feira</v>
      </c>
      <c r="D310" s="81" t="str">
        <f t="shared" si="91"/>
        <v/>
      </c>
      <c r="E310" s="80" t="str">
        <f t="shared" si="96"/>
        <v>Sim</v>
      </c>
      <c r="F310" s="80">
        <f>IF(E310="Sim", COUNTIFS($E$2:E310, "Sim", $A$2:A310, "&gt;="&amp;DATE(YEAR(A310), MONTH(A310), 1)), "")</f>
        <v>3</v>
      </c>
      <c r="G310" s="80">
        <f t="shared" si="97"/>
        <v>45</v>
      </c>
      <c r="H310" s="80" t="str">
        <f t="shared" si="93"/>
        <v>11|3</v>
      </c>
    </row>
    <row r="311" spans="1:8" x14ac:dyDescent="0.25">
      <c r="A311" s="79">
        <f t="shared" si="108"/>
        <v>46332</v>
      </c>
      <c r="B311" s="80">
        <f t="shared" si="105"/>
        <v>6</v>
      </c>
      <c r="C311" s="80" t="str">
        <f t="shared" si="92"/>
        <v>sexta-feira</v>
      </c>
      <c r="D311" s="81" t="str">
        <f t="shared" si="91"/>
        <v/>
      </c>
      <c r="E311" s="80" t="str">
        <f t="shared" si="96"/>
        <v>Sim</v>
      </c>
      <c r="F311" s="80">
        <f>IF(E311="Sim", COUNTIFS($E$2:E311, "Sim", $A$2:A311, "&gt;="&amp;DATE(YEAR(A311), MONTH(A311), 1)), "")</f>
        <v>4</v>
      </c>
      <c r="G311" s="80">
        <f t="shared" si="97"/>
        <v>45</v>
      </c>
      <c r="H311" s="80" t="str">
        <f t="shared" si="93"/>
        <v>11|4</v>
      </c>
    </row>
    <row r="312" spans="1:8" x14ac:dyDescent="0.25">
      <c r="A312" s="79">
        <f t="shared" si="108"/>
        <v>46333</v>
      </c>
      <c r="B312" s="80">
        <f t="shared" si="105"/>
        <v>7</v>
      </c>
      <c r="C312" s="80" t="str">
        <f t="shared" si="92"/>
        <v>sábado</v>
      </c>
      <c r="D312" s="81" t="str">
        <f t="shared" si="91"/>
        <v/>
      </c>
      <c r="E312" s="80" t="str">
        <f t="shared" si="96"/>
        <v>Não</v>
      </c>
      <c r="F312" s="80" t="str">
        <f>IF(E312="Sim", COUNTIFS($E$2:E312, "Sim", $A$2:A312, "&gt;="&amp;DATE(YEAR(A312), MONTH(A312), 1)), "")</f>
        <v/>
      </c>
      <c r="G312" s="80">
        <f t="shared" si="97"/>
        <v>45</v>
      </c>
      <c r="H312" s="80" t="str">
        <f t="shared" si="93"/>
        <v/>
      </c>
    </row>
    <row r="313" spans="1:8" x14ac:dyDescent="0.25">
      <c r="A313" s="73">
        <f t="shared" ref="A313:A319" si="109">A312+1</f>
        <v>46334</v>
      </c>
      <c r="B313" s="72">
        <f t="shared" ref="B313:B319" si="110">WEEKDAY(A313,1)</f>
        <v>1</v>
      </c>
      <c r="C313" s="72" t="str">
        <f t="shared" si="92"/>
        <v>domingo</v>
      </c>
      <c r="D313" s="78" t="str">
        <f t="shared" si="91"/>
        <v/>
      </c>
      <c r="E313" s="72" t="str">
        <f t="shared" si="96"/>
        <v>Não</v>
      </c>
      <c r="F313" s="72" t="str">
        <f>IF(E313="Sim", COUNTIFS($E$2:E313, "Sim", $A$2:A313, "&gt;="&amp;DATE(YEAR(A313), MONTH(A313), 1)), "")</f>
        <v/>
      </c>
      <c r="G313" s="72">
        <f t="shared" si="97"/>
        <v>46</v>
      </c>
      <c r="H313" s="72" t="str">
        <f t="shared" si="93"/>
        <v/>
      </c>
    </row>
    <row r="314" spans="1:8" x14ac:dyDescent="0.25">
      <c r="A314" s="73">
        <f t="shared" si="109"/>
        <v>46335</v>
      </c>
      <c r="B314" s="72">
        <f t="shared" si="110"/>
        <v>2</v>
      </c>
      <c r="C314" s="72" t="str">
        <f t="shared" si="92"/>
        <v>segunda-feira</v>
      </c>
      <c r="D314" s="78" t="str">
        <f t="shared" si="91"/>
        <v/>
      </c>
      <c r="E314" s="72" t="str">
        <f t="shared" si="96"/>
        <v>Sim</v>
      </c>
      <c r="F314" s="72">
        <f>IF(E314="Sim", COUNTIFS($E$2:E314, "Sim", $A$2:A314, "&gt;="&amp;DATE(YEAR(A314), MONTH(A314), 1)), "")</f>
        <v>5</v>
      </c>
      <c r="G314" s="72">
        <f t="shared" si="97"/>
        <v>46</v>
      </c>
      <c r="H314" s="72" t="str">
        <f t="shared" si="93"/>
        <v>11|5</v>
      </c>
    </row>
    <row r="315" spans="1:8" x14ac:dyDescent="0.25">
      <c r="A315" s="73">
        <f t="shared" si="109"/>
        <v>46336</v>
      </c>
      <c r="B315" s="72">
        <f t="shared" si="110"/>
        <v>3</v>
      </c>
      <c r="C315" s="72" t="str">
        <f t="shared" si="92"/>
        <v>terça-feira</v>
      </c>
      <c r="D315" s="78" t="str">
        <f t="shared" si="91"/>
        <v/>
      </c>
      <c r="E315" s="72" t="str">
        <f t="shared" si="96"/>
        <v>Sim</v>
      </c>
      <c r="F315" s="72">
        <f>IF(E315="Sim", COUNTIFS($E$2:E315, "Sim", $A$2:A315, "&gt;="&amp;DATE(YEAR(A315), MONTH(A315), 1)), "")</f>
        <v>6</v>
      </c>
      <c r="G315" s="72">
        <f t="shared" si="97"/>
        <v>46</v>
      </c>
      <c r="H315" s="72" t="str">
        <f t="shared" si="93"/>
        <v>11|6</v>
      </c>
    </row>
    <row r="316" spans="1:8" x14ac:dyDescent="0.25">
      <c r="A316" s="73">
        <f t="shared" si="109"/>
        <v>46337</v>
      </c>
      <c r="B316" s="72">
        <f t="shared" si="110"/>
        <v>4</v>
      </c>
      <c r="C316" s="72" t="str">
        <f t="shared" si="92"/>
        <v>quarta-feira</v>
      </c>
      <c r="D316" s="78" t="str">
        <f t="shared" si="91"/>
        <v/>
      </c>
      <c r="E316" s="72" t="str">
        <f t="shared" si="96"/>
        <v>Sim</v>
      </c>
      <c r="F316" s="72">
        <f>IF(E316="Sim", COUNTIFS($E$2:E316, "Sim", $A$2:A316, "&gt;="&amp;DATE(YEAR(A316), MONTH(A316), 1)), "")</f>
        <v>7</v>
      </c>
      <c r="G316" s="72">
        <f t="shared" si="97"/>
        <v>46</v>
      </c>
      <c r="H316" s="72" t="str">
        <f t="shared" si="93"/>
        <v>11|7</v>
      </c>
    </row>
    <row r="317" spans="1:8" x14ac:dyDescent="0.25">
      <c r="A317" s="73">
        <f t="shared" si="109"/>
        <v>46338</v>
      </c>
      <c r="B317" s="72">
        <f t="shared" si="110"/>
        <v>5</v>
      </c>
      <c r="C317" s="72" t="str">
        <f t="shared" si="92"/>
        <v>quinta-feira</v>
      </c>
      <c r="D317" s="78" t="str">
        <f t="shared" si="91"/>
        <v/>
      </c>
      <c r="E317" s="72" t="str">
        <f t="shared" si="96"/>
        <v>Sim</v>
      </c>
      <c r="F317" s="72">
        <f>IF(E317="Sim", COUNTIFS($E$2:E317, "Sim", $A$2:A317, "&gt;="&amp;DATE(YEAR(A317), MONTH(A317), 1)), "")</f>
        <v>8</v>
      </c>
      <c r="G317" s="72">
        <f t="shared" si="97"/>
        <v>46</v>
      </c>
      <c r="H317" s="72" t="str">
        <f t="shared" si="93"/>
        <v>11|8</v>
      </c>
    </row>
    <row r="318" spans="1:8" x14ac:dyDescent="0.25">
      <c r="A318" s="73">
        <f t="shared" si="109"/>
        <v>46339</v>
      </c>
      <c r="B318" s="72">
        <f t="shared" si="110"/>
        <v>6</v>
      </c>
      <c r="C318" s="72" t="str">
        <f t="shared" si="92"/>
        <v>sexta-feira</v>
      </c>
      <c r="D318" s="78" t="str">
        <f t="shared" si="91"/>
        <v/>
      </c>
      <c r="E318" s="72" t="str">
        <f t="shared" si="96"/>
        <v>Sim</v>
      </c>
      <c r="F318" s="72">
        <f>IF(E318="Sim", COUNTIFS($E$2:E318, "Sim", $A$2:A318, "&gt;="&amp;DATE(YEAR(A318), MONTH(A318), 1)), "")</f>
        <v>9</v>
      </c>
      <c r="G318" s="72">
        <f t="shared" si="97"/>
        <v>46</v>
      </c>
      <c r="H318" s="72" t="str">
        <f t="shared" si="93"/>
        <v>11|9</v>
      </c>
    </row>
    <row r="319" spans="1:8" x14ac:dyDescent="0.25">
      <c r="A319" s="73">
        <f t="shared" si="109"/>
        <v>46340</v>
      </c>
      <c r="B319" s="72">
        <f t="shared" si="110"/>
        <v>7</v>
      </c>
      <c r="C319" s="72" t="str">
        <f t="shared" si="92"/>
        <v>sábado</v>
      </c>
      <c r="D319" s="78" t="str">
        <f t="shared" si="91"/>
        <v/>
      </c>
      <c r="E319" s="72" t="str">
        <f t="shared" si="96"/>
        <v>Não</v>
      </c>
      <c r="F319" s="72" t="str">
        <f>IF(E319="Sim", COUNTIFS($E$2:E319, "Sim", $A$2:A319, "&gt;="&amp;DATE(YEAR(A319), MONTH(A319), 1)), "")</f>
        <v/>
      </c>
      <c r="G319" s="72">
        <f t="shared" si="97"/>
        <v>46</v>
      </c>
      <c r="H319" s="72" t="str">
        <f t="shared" si="93"/>
        <v/>
      </c>
    </row>
    <row r="320" spans="1:8" x14ac:dyDescent="0.25">
      <c r="A320" s="79">
        <f t="shared" ref="A320:A326" si="111">A319+1</f>
        <v>46341</v>
      </c>
      <c r="B320" s="80">
        <f t="shared" ref="B320:B326" si="112">WEEKDAY(A320,1)</f>
        <v>1</v>
      </c>
      <c r="C320" s="80" t="str">
        <f t="shared" si="92"/>
        <v>domingo</v>
      </c>
      <c r="D320" s="81" t="str">
        <f t="shared" si="91"/>
        <v>Sim</v>
      </c>
      <c r="E320" s="80" t="str">
        <f t="shared" si="96"/>
        <v>Não</v>
      </c>
      <c r="F320" s="80" t="str">
        <f>IF(E320="Sim", COUNTIFS($E$2:E320, "Sim", $A$2:A320, "&gt;="&amp;DATE(YEAR(A320), MONTH(A320), 1)), "")</f>
        <v/>
      </c>
      <c r="G320" s="80">
        <f t="shared" si="97"/>
        <v>47</v>
      </c>
      <c r="H320" s="80" t="str">
        <f t="shared" si="93"/>
        <v/>
      </c>
    </row>
    <row r="321" spans="1:8" x14ac:dyDescent="0.25">
      <c r="A321" s="79">
        <f t="shared" si="111"/>
        <v>46342</v>
      </c>
      <c r="B321" s="80">
        <f t="shared" si="112"/>
        <v>2</v>
      </c>
      <c r="C321" s="80" t="str">
        <f t="shared" si="92"/>
        <v>segunda-feira</v>
      </c>
      <c r="D321" s="81" t="str">
        <f t="shared" si="91"/>
        <v/>
      </c>
      <c r="E321" s="80" t="str">
        <f t="shared" si="96"/>
        <v>Sim</v>
      </c>
      <c r="F321" s="80">
        <f>IF(E321="Sim", COUNTIFS($E$2:E321, "Sim", $A$2:A321, "&gt;="&amp;DATE(YEAR(A321), MONTH(A321), 1)), "")</f>
        <v>10</v>
      </c>
      <c r="G321" s="80">
        <f t="shared" si="97"/>
        <v>47</v>
      </c>
      <c r="H321" s="80" t="str">
        <f t="shared" si="93"/>
        <v>11|10</v>
      </c>
    </row>
    <row r="322" spans="1:8" x14ac:dyDescent="0.25">
      <c r="A322" s="79">
        <f t="shared" si="111"/>
        <v>46343</v>
      </c>
      <c r="B322" s="80">
        <f t="shared" si="112"/>
        <v>3</v>
      </c>
      <c r="C322" s="80" t="str">
        <f t="shared" si="92"/>
        <v>terça-feira</v>
      </c>
      <c r="D322" s="81" t="str">
        <f t="shared" ref="D322:D366" si="113">IF(_xlfn.XLOOKUP(A322,J:J,J:J,0,0)=A322,"Sim","")</f>
        <v/>
      </c>
      <c r="E322" s="80" t="str">
        <f t="shared" si="96"/>
        <v>Sim</v>
      </c>
      <c r="F322" s="80">
        <f>IF(E322="Sim", COUNTIFS($E$2:E322, "Sim", $A$2:A322, "&gt;="&amp;DATE(YEAR(A322), MONTH(A322), 1)), "")</f>
        <v>11</v>
      </c>
      <c r="G322" s="80">
        <f t="shared" si="97"/>
        <v>47</v>
      </c>
      <c r="H322" s="80" t="str">
        <f t="shared" si="93"/>
        <v>11|11</v>
      </c>
    </row>
    <row r="323" spans="1:8" x14ac:dyDescent="0.25">
      <c r="A323" s="79">
        <f t="shared" si="111"/>
        <v>46344</v>
      </c>
      <c r="B323" s="80">
        <f t="shared" si="112"/>
        <v>4</v>
      </c>
      <c r="C323" s="80" t="str">
        <f t="shared" ref="C323:C366" si="114">TEXT(B323,"ddddd")</f>
        <v>quarta-feira</v>
      </c>
      <c r="D323" s="81" t="str">
        <f t="shared" si="113"/>
        <v/>
      </c>
      <c r="E323" s="80" t="str">
        <f t="shared" si="96"/>
        <v>Sim</v>
      </c>
      <c r="F323" s="80">
        <f>IF(E323="Sim", COUNTIFS($E$2:E323, "Sim", $A$2:A323, "&gt;="&amp;DATE(YEAR(A323), MONTH(A323), 1)), "")</f>
        <v>12</v>
      </c>
      <c r="G323" s="80">
        <f t="shared" si="97"/>
        <v>47</v>
      </c>
      <c r="H323" s="80" t="str">
        <f t="shared" ref="H323:H366" si="115">IF(F323="","",MONTH(A323)&amp;"|"&amp;F323)</f>
        <v>11|12</v>
      </c>
    </row>
    <row r="324" spans="1:8" x14ac:dyDescent="0.25">
      <c r="A324" s="79">
        <f t="shared" si="111"/>
        <v>46345</v>
      </c>
      <c r="B324" s="80">
        <f t="shared" si="112"/>
        <v>5</v>
      </c>
      <c r="C324" s="80" t="str">
        <f t="shared" si="114"/>
        <v>quinta-feira</v>
      </c>
      <c r="D324" s="81" t="str">
        <f t="shared" si="113"/>
        <v/>
      </c>
      <c r="E324" s="80" t="str">
        <f t="shared" si="96"/>
        <v>Sim</v>
      </c>
      <c r="F324" s="80">
        <f>IF(E324="Sim", COUNTIFS($E$2:E324, "Sim", $A$2:A324, "&gt;="&amp;DATE(YEAR(A324), MONTH(A324), 1)), "")</f>
        <v>13</v>
      </c>
      <c r="G324" s="80">
        <f t="shared" si="97"/>
        <v>47</v>
      </c>
      <c r="H324" s="80" t="str">
        <f t="shared" si="115"/>
        <v>11|13</v>
      </c>
    </row>
    <row r="325" spans="1:8" x14ac:dyDescent="0.25">
      <c r="A325" s="79">
        <f t="shared" si="111"/>
        <v>46346</v>
      </c>
      <c r="B325" s="80">
        <f t="shared" si="112"/>
        <v>6</v>
      </c>
      <c r="C325" s="80" t="str">
        <f t="shared" si="114"/>
        <v>sexta-feira</v>
      </c>
      <c r="D325" s="81" t="str">
        <f t="shared" si="113"/>
        <v>Sim</v>
      </c>
      <c r="E325" s="80" t="str">
        <f t="shared" si="96"/>
        <v>Não</v>
      </c>
      <c r="F325" s="80" t="str">
        <f>IF(E325="Sim", COUNTIFS($E$2:E325, "Sim", $A$2:A325, "&gt;="&amp;DATE(YEAR(A325), MONTH(A325), 1)), "")</f>
        <v/>
      </c>
      <c r="G325" s="80">
        <f t="shared" si="97"/>
        <v>47</v>
      </c>
      <c r="H325" s="80" t="str">
        <f t="shared" si="115"/>
        <v/>
      </c>
    </row>
    <row r="326" spans="1:8" x14ac:dyDescent="0.25">
      <c r="A326" s="79">
        <f t="shared" si="111"/>
        <v>46347</v>
      </c>
      <c r="B326" s="80">
        <f t="shared" si="112"/>
        <v>7</v>
      </c>
      <c r="C326" s="80" t="str">
        <f t="shared" si="114"/>
        <v>sábado</v>
      </c>
      <c r="D326" s="81" t="str">
        <f t="shared" si="113"/>
        <v/>
      </c>
      <c r="E326" s="80" t="str">
        <f t="shared" si="96"/>
        <v>Não</v>
      </c>
      <c r="F326" s="80" t="str">
        <f>IF(E326="Sim", COUNTIFS($E$2:E326, "Sim", $A$2:A326, "&gt;="&amp;DATE(YEAR(A326), MONTH(A326), 1)), "")</f>
        <v/>
      </c>
      <c r="G326" s="80">
        <f t="shared" si="97"/>
        <v>47</v>
      </c>
      <c r="H326" s="80" t="str">
        <f t="shared" si="115"/>
        <v/>
      </c>
    </row>
    <row r="327" spans="1:8" x14ac:dyDescent="0.25">
      <c r="A327" s="73">
        <f t="shared" ref="A327:A333" si="116">A326+1</f>
        <v>46348</v>
      </c>
      <c r="B327" s="72">
        <f t="shared" ref="B327:B333" si="117">WEEKDAY(A327,1)</f>
        <v>1</v>
      </c>
      <c r="C327" s="72" t="str">
        <f t="shared" si="114"/>
        <v>domingo</v>
      </c>
      <c r="D327" s="78" t="str">
        <f t="shared" si="113"/>
        <v/>
      </c>
      <c r="E327" s="72" t="str">
        <f t="shared" si="96"/>
        <v>Não</v>
      </c>
      <c r="F327" s="72" t="str">
        <f>IF(E327="Sim", COUNTIFS($E$2:E327, "Sim", $A$2:A327, "&gt;="&amp;DATE(YEAR(A327), MONTH(A327), 1)), "")</f>
        <v/>
      </c>
      <c r="G327" s="72">
        <f t="shared" si="97"/>
        <v>48</v>
      </c>
      <c r="H327" s="72" t="str">
        <f t="shared" si="115"/>
        <v/>
      </c>
    </row>
    <row r="328" spans="1:8" x14ac:dyDescent="0.25">
      <c r="A328" s="73">
        <f t="shared" si="116"/>
        <v>46349</v>
      </c>
      <c r="B328" s="72">
        <f t="shared" si="117"/>
        <v>2</v>
      </c>
      <c r="C328" s="72" t="str">
        <f t="shared" si="114"/>
        <v>segunda-feira</v>
      </c>
      <c r="D328" s="78" t="str">
        <f t="shared" si="113"/>
        <v/>
      </c>
      <c r="E328" s="72" t="str">
        <f t="shared" si="96"/>
        <v>Sim</v>
      </c>
      <c r="F328" s="72">
        <f>IF(E328="Sim", COUNTIFS($E$2:E328, "Sim", $A$2:A328, "&gt;="&amp;DATE(YEAR(A328), MONTH(A328), 1)), "")</f>
        <v>14</v>
      </c>
      <c r="G328" s="72">
        <f t="shared" si="97"/>
        <v>48</v>
      </c>
      <c r="H328" s="72" t="str">
        <f t="shared" si="115"/>
        <v>11|14</v>
      </c>
    </row>
    <row r="329" spans="1:8" x14ac:dyDescent="0.25">
      <c r="A329" s="73">
        <f t="shared" si="116"/>
        <v>46350</v>
      </c>
      <c r="B329" s="72">
        <f t="shared" si="117"/>
        <v>3</v>
      </c>
      <c r="C329" s="72" t="str">
        <f t="shared" si="114"/>
        <v>terça-feira</v>
      </c>
      <c r="D329" s="78" t="str">
        <f t="shared" si="113"/>
        <v/>
      </c>
      <c r="E329" s="72" t="str">
        <f t="shared" si="96"/>
        <v>Sim</v>
      </c>
      <c r="F329" s="72">
        <f>IF(E329="Sim", COUNTIFS($E$2:E329, "Sim", $A$2:A329, "&gt;="&amp;DATE(YEAR(A329), MONTH(A329), 1)), "")</f>
        <v>15</v>
      </c>
      <c r="G329" s="72">
        <f t="shared" si="97"/>
        <v>48</v>
      </c>
      <c r="H329" s="72" t="str">
        <f t="shared" si="115"/>
        <v>11|15</v>
      </c>
    </row>
    <row r="330" spans="1:8" x14ac:dyDescent="0.25">
      <c r="A330" s="73">
        <f t="shared" si="116"/>
        <v>46351</v>
      </c>
      <c r="B330" s="72">
        <f t="shared" si="117"/>
        <v>4</v>
      </c>
      <c r="C330" s="72" t="str">
        <f t="shared" si="114"/>
        <v>quarta-feira</v>
      </c>
      <c r="D330" s="78" t="str">
        <f t="shared" si="113"/>
        <v/>
      </c>
      <c r="E330" s="72" t="str">
        <f t="shared" si="96"/>
        <v>Sim</v>
      </c>
      <c r="F330" s="72">
        <f>IF(E330="Sim", COUNTIFS($E$2:E330, "Sim", $A$2:A330, "&gt;="&amp;DATE(YEAR(A330), MONTH(A330), 1)), "")</f>
        <v>16</v>
      </c>
      <c r="G330" s="72">
        <f t="shared" si="97"/>
        <v>48</v>
      </c>
      <c r="H330" s="72" t="str">
        <f t="shared" si="115"/>
        <v>11|16</v>
      </c>
    </row>
    <row r="331" spans="1:8" x14ac:dyDescent="0.25">
      <c r="A331" s="73">
        <f t="shared" si="116"/>
        <v>46352</v>
      </c>
      <c r="B331" s="72">
        <f t="shared" si="117"/>
        <v>5</v>
      </c>
      <c r="C331" s="72" t="str">
        <f t="shared" si="114"/>
        <v>quinta-feira</v>
      </c>
      <c r="D331" s="78" t="str">
        <f t="shared" si="113"/>
        <v/>
      </c>
      <c r="E331" s="72" t="str">
        <f t="shared" ref="E331:E344" si="118">IF(OR(B331=1,B331=7,D331&lt;&gt;""),"Não","Sim")</f>
        <v>Sim</v>
      </c>
      <c r="F331" s="72">
        <f>IF(E331="Sim", COUNTIFS($E$2:E331, "Sim", $A$2:A331, "&gt;="&amp;DATE(YEAR(A331), MONTH(A331), 1)), "")</f>
        <v>17</v>
      </c>
      <c r="G331" s="72">
        <f t="shared" ref="G331:G344" si="119">WEEKNUM(A331)</f>
        <v>48</v>
      </c>
      <c r="H331" s="72" t="str">
        <f t="shared" si="115"/>
        <v>11|17</v>
      </c>
    </row>
    <row r="332" spans="1:8" x14ac:dyDescent="0.25">
      <c r="A332" s="73">
        <f t="shared" si="116"/>
        <v>46353</v>
      </c>
      <c r="B332" s="72">
        <f t="shared" si="117"/>
        <v>6</v>
      </c>
      <c r="C332" s="72" t="str">
        <f t="shared" si="114"/>
        <v>sexta-feira</v>
      </c>
      <c r="D332" s="78" t="str">
        <f t="shared" si="113"/>
        <v/>
      </c>
      <c r="E332" s="72" t="str">
        <f t="shared" si="118"/>
        <v>Sim</v>
      </c>
      <c r="F332" s="72">
        <f>IF(E332="Sim", COUNTIFS($E$2:E332, "Sim", $A$2:A332, "&gt;="&amp;DATE(YEAR(A332), MONTH(A332), 1)), "")</f>
        <v>18</v>
      </c>
      <c r="G332" s="72">
        <f t="shared" si="119"/>
        <v>48</v>
      </c>
      <c r="H332" s="72" t="str">
        <f t="shared" si="115"/>
        <v>11|18</v>
      </c>
    </row>
    <row r="333" spans="1:8" x14ac:dyDescent="0.25">
      <c r="A333" s="73">
        <f t="shared" si="116"/>
        <v>46354</v>
      </c>
      <c r="B333" s="72">
        <f t="shared" si="117"/>
        <v>7</v>
      </c>
      <c r="C333" s="72" t="str">
        <f t="shared" si="114"/>
        <v>sábado</v>
      </c>
      <c r="D333" s="78" t="str">
        <f t="shared" si="113"/>
        <v/>
      </c>
      <c r="E333" s="72" t="str">
        <f t="shared" si="118"/>
        <v>Não</v>
      </c>
      <c r="F333" s="72" t="str">
        <f>IF(E333="Sim", COUNTIFS($E$2:E333, "Sim", $A$2:A333, "&gt;="&amp;DATE(YEAR(A333), MONTH(A333), 1)), "")</f>
        <v/>
      </c>
      <c r="G333" s="72">
        <f t="shared" si="119"/>
        <v>48</v>
      </c>
      <c r="H333" s="72" t="str">
        <f t="shared" si="115"/>
        <v/>
      </c>
    </row>
    <row r="334" spans="1:8" x14ac:dyDescent="0.25">
      <c r="A334" s="79">
        <f t="shared" ref="A334:A340" si="120">A333+1</f>
        <v>46355</v>
      </c>
      <c r="B334" s="80">
        <f t="shared" ref="B334:B340" si="121">WEEKDAY(A334,1)</f>
        <v>1</v>
      </c>
      <c r="C334" s="80" t="str">
        <f t="shared" si="114"/>
        <v>domingo</v>
      </c>
      <c r="D334" s="81" t="str">
        <f t="shared" si="113"/>
        <v/>
      </c>
      <c r="E334" s="80" t="str">
        <f t="shared" si="118"/>
        <v>Não</v>
      </c>
      <c r="F334" s="80" t="str">
        <f>IF(E334="Sim", COUNTIFS($E$2:E334, "Sim", $A$2:A334, "&gt;="&amp;DATE(YEAR(A334), MONTH(A334), 1)), "")</f>
        <v/>
      </c>
      <c r="G334" s="80">
        <f t="shared" si="119"/>
        <v>49</v>
      </c>
      <c r="H334" s="80" t="str">
        <f t="shared" si="115"/>
        <v/>
      </c>
    </row>
    <row r="335" spans="1:8" x14ac:dyDescent="0.25">
      <c r="A335" s="79">
        <f t="shared" si="120"/>
        <v>46356</v>
      </c>
      <c r="B335" s="80">
        <f t="shared" si="121"/>
        <v>2</v>
      </c>
      <c r="C335" s="80" t="str">
        <f t="shared" si="114"/>
        <v>segunda-feira</v>
      </c>
      <c r="D335" s="81" t="str">
        <f t="shared" si="113"/>
        <v/>
      </c>
      <c r="E335" s="80" t="str">
        <f t="shared" si="118"/>
        <v>Sim</v>
      </c>
      <c r="F335" s="80">
        <f>IF(E335="Sim", COUNTIFS($E$2:E335, "Sim", $A$2:A335, "&gt;="&amp;DATE(YEAR(A335), MONTH(A335), 1)), "")</f>
        <v>19</v>
      </c>
      <c r="G335" s="80">
        <f t="shared" si="119"/>
        <v>49</v>
      </c>
      <c r="H335" s="80" t="str">
        <f t="shared" si="115"/>
        <v>11|19</v>
      </c>
    </row>
    <row r="336" spans="1:8" x14ac:dyDescent="0.25">
      <c r="A336" s="79">
        <f t="shared" si="120"/>
        <v>46357</v>
      </c>
      <c r="B336" s="80">
        <f t="shared" si="121"/>
        <v>3</v>
      </c>
      <c r="C336" s="80" t="str">
        <f t="shared" si="114"/>
        <v>terça-feira</v>
      </c>
      <c r="D336" s="81" t="str">
        <f t="shared" si="113"/>
        <v/>
      </c>
      <c r="E336" s="80" t="str">
        <f t="shared" si="118"/>
        <v>Sim</v>
      </c>
      <c r="F336" s="80">
        <f>IF(E336="Sim", COUNTIFS($E$2:E336, "Sim", $A$2:A336, "&gt;="&amp;DATE(YEAR(A336), MONTH(A336), 1)), "")</f>
        <v>1</v>
      </c>
      <c r="G336" s="80">
        <f t="shared" si="119"/>
        <v>49</v>
      </c>
      <c r="H336" s="80" t="str">
        <f t="shared" si="115"/>
        <v>12|1</v>
      </c>
    </row>
    <row r="337" spans="1:8" x14ac:dyDescent="0.25">
      <c r="A337" s="79">
        <f t="shared" si="120"/>
        <v>46358</v>
      </c>
      <c r="B337" s="80">
        <f t="shared" si="121"/>
        <v>4</v>
      </c>
      <c r="C337" s="80" t="str">
        <f t="shared" si="114"/>
        <v>quarta-feira</v>
      </c>
      <c r="D337" s="81" t="str">
        <f t="shared" si="113"/>
        <v/>
      </c>
      <c r="E337" s="80" t="str">
        <f t="shared" si="118"/>
        <v>Sim</v>
      </c>
      <c r="F337" s="80">
        <f>IF(E337="Sim", COUNTIFS($E$2:E337, "Sim", $A$2:A337, "&gt;="&amp;DATE(YEAR(A337), MONTH(A337), 1)), "")</f>
        <v>2</v>
      </c>
      <c r="G337" s="80">
        <f t="shared" si="119"/>
        <v>49</v>
      </c>
      <c r="H337" s="80" t="str">
        <f t="shared" si="115"/>
        <v>12|2</v>
      </c>
    </row>
    <row r="338" spans="1:8" x14ac:dyDescent="0.25">
      <c r="A338" s="79">
        <f t="shared" si="120"/>
        <v>46359</v>
      </c>
      <c r="B338" s="80">
        <f t="shared" si="121"/>
        <v>5</v>
      </c>
      <c r="C338" s="80" t="str">
        <f t="shared" si="114"/>
        <v>quinta-feira</v>
      </c>
      <c r="D338" s="81" t="str">
        <f t="shared" si="113"/>
        <v/>
      </c>
      <c r="E338" s="80" t="str">
        <f t="shared" si="118"/>
        <v>Sim</v>
      </c>
      <c r="F338" s="80">
        <f>IF(E338="Sim", COUNTIFS($E$2:E338, "Sim", $A$2:A338, "&gt;="&amp;DATE(YEAR(A338), MONTH(A338), 1)), "")</f>
        <v>3</v>
      </c>
      <c r="G338" s="80">
        <f t="shared" si="119"/>
        <v>49</v>
      </c>
      <c r="H338" s="80" t="str">
        <f t="shared" si="115"/>
        <v>12|3</v>
      </c>
    </row>
    <row r="339" spans="1:8" x14ac:dyDescent="0.25">
      <c r="A339" s="79">
        <f t="shared" si="120"/>
        <v>46360</v>
      </c>
      <c r="B339" s="80">
        <f t="shared" si="121"/>
        <v>6</v>
      </c>
      <c r="C339" s="80" t="str">
        <f t="shared" si="114"/>
        <v>sexta-feira</v>
      </c>
      <c r="D339" s="81" t="str">
        <f t="shared" si="113"/>
        <v/>
      </c>
      <c r="E339" s="80" t="str">
        <f t="shared" si="118"/>
        <v>Sim</v>
      </c>
      <c r="F339" s="80">
        <f>IF(E339="Sim", COUNTIFS($E$2:E339, "Sim", $A$2:A339, "&gt;="&amp;DATE(YEAR(A339), MONTH(A339), 1)), "")</f>
        <v>4</v>
      </c>
      <c r="G339" s="80">
        <f t="shared" si="119"/>
        <v>49</v>
      </c>
      <c r="H339" s="80" t="str">
        <f t="shared" si="115"/>
        <v>12|4</v>
      </c>
    </row>
    <row r="340" spans="1:8" x14ac:dyDescent="0.25">
      <c r="A340" s="79">
        <f t="shared" si="120"/>
        <v>46361</v>
      </c>
      <c r="B340" s="80">
        <f t="shared" si="121"/>
        <v>7</v>
      </c>
      <c r="C340" s="80" t="str">
        <f t="shared" si="114"/>
        <v>sábado</v>
      </c>
      <c r="D340" s="81" t="str">
        <f t="shared" si="113"/>
        <v/>
      </c>
      <c r="E340" s="80" t="str">
        <f t="shared" si="118"/>
        <v>Não</v>
      </c>
      <c r="F340" s="80" t="str">
        <f>IF(E340="Sim", COUNTIFS($E$2:E340, "Sim", $A$2:A340, "&gt;="&amp;DATE(YEAR(A340), MONTH(A340), 1)), "")</f>
        <v/>
      </c>
      <c r="G340" s="80">
        <f t="shared" si="119"/>
        <v>49</v>
      </c>
      <c r="H340" s="80" t="str">
        <f t="shared" si="115"/>
        <v/>
      </c>
    </row>
    <row r="341" spans="1:8" x14ac:dyDescent="0.25">
      <c r="A341" s="73">
        <f t="shared" ref="A341:A347" si="122">A340+1</f>
        <v>46362</v>
      </c>
      <c r="B341" s="72">
        <f t="shared" ref="B341:B347" si="123">WEEKDAY(A341,1)</f>
        <v>1</v>
      </c>
      <c r="C341" s="72" t="str">
        <f t="shared" si="114"/>
        <v>domingo</v>
      </c>
      <c r="D341" s="78" t="str">
        <f t="shared" si="113"/>
        <v/>
      </c>
      <c r="E341" s="72" t="str">
        <f t="shared" si="118"/>
        <v>Não</v>
      </c>
      <c r="F341" s="72" t="str">
        <f>IF(E341="Sim", COUNTIFS($E$2:E341, "Sim", $A$2:A341, "&gt;="&amp;DATE(YEAR(A341), MONTH(A341), 1)), "")</f>
        <v/>
      </c>
      <c r="G341" s="72">
        <f t="shared" si="119"/>
        <v>50</v>
      </c>
      <c r="H341" s="72" t="str">
        <f t="shared" si="115"/>
        <v/>
      </c>
    </row>
    <row r="342" spans="1:8" x14ac:dyDescent="0.25">
      <c r="A342" s="73">
        <f t="shared" si="122"/>
        <v>46363</v>
      </c>
      <c r="B342" s="72">
        <f t="shared" si="123"/>
        <v>2</v>
      </c>
      <c r="C342" s="72" t="str">
        <f t="shared" si="114"/>
        <v>segunda-feira</v>
      </c>
      <c r="D342" s="78" t="str">
        <f t="shared" si="113"/>
        <v/>
      </c>
      <c r="E342" s="72" t="str">
        <f t="shared" si="118"/>
        <v>Sim</v>
      </c>
      <c r="F342" s="72">
        <f>IF(E342="Sim", COUNTIFS($E$2:E342, "Sim", $A$2:A342, "&gt;="&amp;DATE(YEAR(A342), MONTH(A342), 1)), "")</f>
        <v>5</v>
      </c>
      <c r="G342" s="72">
        <f t="shared" si="119"/>
        <v>50</v>
      </c>
      <c r="H342" s="72" t="str">
        <f t="shared" si="115"/>
        <v>12|5</v>
      </c>
    </row>
    <row r="343" spans="1:8" x14ac:dyDescent="0.25">
      <c r="A343" s="73">
        <f t="shared" si="122"/>
        <v>46364</v>
      </c>
      <c r="B343" s="72">
        <f t="shared" si="123"/>
        <v>3</v>
      </c>
      <c r="C343" s="72" t="str">
        <f t="shared" si="114"/>
        <v>terça-feira</v>
      </c>
      <c r="D343" s="78" t="str">
        <f t="shared" si="113"/>
        <v/>
      </c>
      <c r="E343" s="72" t="str">
        <f t="shared" si="118"/>
        <v>Sim</v>
      </c>
      <c r="F343" s="72">
        <f>IF(E343="Sim", COUNTIFS($E$2:E343, "Sim", $A$2:A343, "&gt;="&amp;DATE(YEAR(A343), MONTH(A343), 1)), "")</f>
        <v>6</v>
      </c>
      <c r="G343" s="72">
        <f t="shared" si="119"/>
        <v>50</v>
      </c>
      <c r="H343" s="72" t="str">
        <f t="shared" si="115"/>
        <v>12|6</v>
      </c>
    </row>
    <row r="344" spans="1:8" x14ac:dyDescent="0.25">
      <c r="A344" s="73">
        <f t="shared" si="122"/>
        <v>46365</v>
      </c>
      <c r="B344" s="72">
        <f t="shared" si="123"/>
        <v>4</v>
      </c>
      <c r="C344" s="72" t="str">
        <f t="shared" si="114"/>
        <v>quarta-feira</v>
      </c>
      <c r="D344" s="78" t="str">
        <f t="shared" si="113"/>
        <v/>
      </c>
      <c r="E344" s="72" t="str">
        <f t="shared" si="118"/>
        <v>Sim</v>
      </c>
      <c r="F344" s="72">
        <f>IF(E344="Sim", COUNTIFS($E$2:E344, "Sim", $A$2:A344, "&gt;="&amp;DATE(YEAR(A344), MONTH(A344), 1)), "")</f>
        <v>7</v>
      </c>
      <c r="G344" s="72">
        <f t="shared" si="119"/>
        <v>50</v>
      </c>
      <c r="H344" s="72" t="str">
        <f t="shared" si="115"/>
        <v>12|7</v>
      </c>
    </row>
    <row r="345" spans="1:8" x14ac:dyDescent="0.25">
      <c r="A345" s="73">
        <f t="shared" si="122"/>
        <v>46366</v>
      </c>
      <c r="B345" s="72">
        <f t="shared" si="123"/>
        <v>5</v>
      </c>
      <c r="C345" s="72" t="str">
        <f t="shared" si="114"/>
        <v>quinta-feira</v>
      </c>
      <c r="D345" s="78" t="str">
        <f t="shared" si="113"/>
        <v/>
      </c>
      <c r="E345" s="72" t="str">
        <f t="shared" ref="E345:E366" si="124">IF(OR(B345=1,B345=7,D345&lt;&gt;""),"Não","Sim")</f>
        <v>Sim</v>
      </c>
      <c r="F345" s="72">
        <f>IF(E345="Sim", COUNTIFS($E$2:E345, "Sim", $A$2:A345, "&gt;="&amp;DATE(YEAR(A345), MONTH(A345), 1)), "")</f>
        <v>8</v>
      </c>
      <c r="G345" s="72">
        <f t="shared" ref="G345:G366" si="125">WEEKNUM(A345)</f>
        <v>50</v>
      </c>
      <c r="H345" s="72" t="str">
        <f t="shared" si="115"/>
        <v>12|8</v>
      </c>
    </row>
    <row r="346" spans="1:8" x14ac:dyDescent="0.25">
      <c r="A346" s="73">
        <f t="shared" si="122"/>
        <v>46367</v>
      </c>
      <c r="B346" s="72">
        <f t="shared" si="123"/>
        <v>6</v>
      </c>
      <c r="C346" s="72" t="str">
        <f t="shared" si="114"/>
        <v>sexta-feira</v>
      </c>
      <c r="D346" s="78" t="str">
        <f t="shared" si="113"/>
        <v/>
      </c>
      <c r="E346" s="72" t="str">
        <f t="shared" si="124"/>
        <v>Sim</v>
      </c>
      <c r="F346" s="72">
        <f>IF(E346="Sim", COUNTIFS($E$2:E346, "Sim", $A$2:A346, "&gt;="&amp;DATE(YEAR(A346), MONTH(A346), 1)), "")</f>
        <v>9</v>
      </c>
      <c r="G346" s="72">
        <f t="shared" si="125"/>
        <v>50</v>
      </c>
      <c r="H346" s="72" t="str">
        <f t="shared" si="115"/>
        <v>12|9</v>
      </c>
    </row>
    <row r="347" spans="1:8" x14ac:dyDescent="0.25">
      <c r="A347" s="73">
        <f t="shared" si="122"/>
        <v>46368</v>
      </c>
      <c r="B347" s="72">
        <f t="shared" si="123"/>
        <v>7</v>
      </c>
      <c r="C347" s="72" t="str">
        <f t="shared" si="114"/>
        <v>sábado</v>
      </c>
      <c r="D347" s="78" t="str">
        <f t="shared" si="113"/>
        <v/>
      </c>
      <c r="E347" s="72" t="str">
        <f t="shared" si="124"/>
        <v>Não</v>
      </c>
      <c r="F347" s="72" t="str">
        <f>IF(E347="Sim", COUNTIFS($E$2:E347, "Sim", $A$2:A347, "&gt;="&amp;DATE(YEAR(A347), MONTH(A347), 1)), "")</f>
        <v/>
      </c>
      <c r="G347" s="72">
        <f t="shared" si="125"/>
        <v>50</v>
      </c>
      <c r="H347" s="72" t="str">
        <f t="shared" si="115"/>
        <v/>
      </c>
    </row>
    <row r="348" spans="1:8" x14ac:dyDescent="0.25">
      <c r="A348" s="79">
        <f t="shared" ref="A348:A354" si="126">A347+1</f>
        <v>46369</v>
      </c>
      <c r="B348" s="80">
        <f t="shared" ref="B348:B354" si="127">WEEKDAY(A348,1)</f>
        <v>1</v>
      </c>
      <c r="C348" s="80" t="str">
        <f t="shared" si="114"/>
        <v>domingo</v>
      </c>
      <c r="D348" s="81" t="str">
        <f t="shared" si="113"/>
        <v/>
      </c>
      <c r="E348" s="80" t="str">
        <f t="shared" si="124"/>
        <v>Não</v>
      </c>
      <c r="F348" s="80" t="str">
        <f>IF(E348="Sim", COUNTIFS($E$2:E348, "Sim", $A$2:A348, "&gt;="&amp;DATE(YEAR(A348), MONTH(A348), 1)), "")</f>
        <v/>
      </c>
      <c r="G348" s="80">
        <f t="shared" si="125"/>
        <v>51</v>
      </c>
      <c r="H348" s="80" t="str">
        <f t="shared" si="115"/>
        <v/>
      </c>
    </row>
    <row r="349" spans="1:8" x14ac:dyDescent="0.25">
      <c r="A349" s="79">
        <f t="shared" si="126"/>
        <v>46370</v>
      </c>
      <c r="B349" s="80">
        <f t="shared" si="127"/>
        <v>2</v>
      </c>
      <c r="C349" s="80" t="str">
        <f t="shared" si="114"/>
        <v>segunda-feira</v>
      </c>
      <c r="D349" s="81" t="str">
        <f t="shared" si="113"/>
        <v/>
      </c>
      <c r="E349" s="80" t="str">
        <f t="shared" si="124"/>
        <v>Sim</v>
      </c>
      <c r="F349" s="80">
        <f>IF(E349="Sim", COUNTIFS($E$2:E349, "Sim", $A$2:A349, "&gt;="&amp;DATE(YEAR(A349), MONTH(A349), 1)), "")</f>
        <v>10</v>
      </c>
      <c r="G349" s="80">
        <f t="shared" si="125"/>
        <v>51</v>
      </c>
      <c r="H349" s="80" t="str">
        <f t="shared" si="115"/>
        <v>12|10</v>
      </c>
    </row>
    <row r="350" spans="1:8" x14ac:dyDescent="0.25">
      <c r="A350" s="79">
        <f t="shared" si="126"/>
        <v>46371</v>
      </c>
      <c r="B350" s="80">
        <f t="shared" si="127"/>
        <v>3</v>
      </c>
      <c r="C350" s="80" t="str">
        <f t="shared" si="114"/>
        <v>terça-feira</v>
      </c>
      <c r="D350" s="81" t="str">
        <f t="shared" si="113"/>
        <v/>
      </c>
      <c r="E350" s="80" t="str">
        <f t="shared" si="124"/>
        <v>Sim</v>
      </c>
      <c r="F350" s="80">
        <f>IF(E350="Sim", COUNTIFS($E$2:E350, "Sim", $A$2:A350, "&gt;="&amp;DATE(YEAR(A350), MONTH(A350), 1)), "")</f>
        <v>11</v>
      </c>
      <c r="G350" s="80">
        <f t="shared" si="125"/>
        <v>51</v>
      </c>
      <c r="H350" s="80" t="str">
        <f t="shared" si="115"/>
        <v>12|11</v>
      </c>
    </row>
    <row r="351" spans="1:8" x14ac:dyDescent="0.25">
      <c r="A351" s="79">
        <f t="shared" si="126"/>
        <v>46372</v>
      </c>
      <c r="B351" s="80">
        <f t="shared" si="127"/>
        <v>4</v>
      </c>
      <c r="C351" s="80" t="str">
        <f t="shared" si="114"/>
        <v>quarta-feira</v>
      </c>
      <c r="D351" s="81" t="str">
        <f t="shared" si="113"/>
        <v/>
      </c>
      <c r="E351" s="80" t="str">
        <f t="shared" si="124"/>
        <v>Sim</v>
      </c>
      <c r="F351" s="80">
        <f>IF(E351="Sim", COUNTIFS($E$2:E351, "Sim", $A$2:A351, "&gt;="&amp;DATE(YEAR(A351), MONTH(A351), 1)), "")</f>
        <v>12</v>
      </c>
      <c r="G351" s="80">
        <f t="shared" si="125"/>
        <v>51</v>
      </c>
      <c r="H351" s="80" t="str">
        <f t="shared" si="115"/>
        <v>12|12</v>
      </c>
    </row>
    <row r="352" spans="1:8" x14ac:dyDescent="0.25">
      <c r="A352" s="79">
        <f t="shared" si="126"/>
        <v>46373</v>
      </c>
      <c r="B352" s="80">
        <f t="shared" si="127"/>
        <v>5</v>
      </c>
      <c r="C352" s="80" t="str">
        <f t="shared" si="114"/>
        <v>quinta-feira</v>
      </c>
      <c r="D352" s="81" t="str">
        <f t="shared" si="113"/>
        <v/>
      </c>
      <c r="E352" s="80" t="str">
        <f t="shared" si="124"/>
        <v>Sim</v>
      </c>
      <c r="F352" s="80">
        <f>IF(E352="Sim", COUNTIFS($E$2:E352, "Sim", $A$2:A352, "&gt;="&amp;DATE(YEAR(A352), MONTH(A352), 1)), "")</f>
        <v>13</v>
      </c>
      <c r="G352" s="80">
        <f t="shared" si="125"/>
        <v>51</v>
      </c>
      <c r="H352" s="80" t="str">
        <f t="shared" si="115"/>
        <v>12|13</v>
      </c>
    </row>
    <row r="353" spans="1:8" x14ac:dyDescent="0.25">
      <c r="A353" s="79">
        <f t="shared" si="126"/>
        <v>46374</v>
      </c>
      <c r="B353" s="80">
        <f t="shared" si="127"/>
        <v>6</v>
      </c>
      <c r="C353" s="80" t="str">
        <f t="shared" si="114"/>
        <v>sexta-feira</v>
      </c>
      <c r="D353" s="81" t="str">
        <f t="shared" si="113"/>
        <v/>
      </c>
      <c r="E353" s="80" t="str">
        <f t="shared" si="124"/>
        <v>Sim</v>
      </c>
      <c r="F353" s="80">
        <f>IF(E353="Sim", COUNTIFS($E$2:E353, "Sim", $A$2:A353, "&gt;="&amp;DATE(YEAR(A353), MONTH(A353), 1)), "")</f>
        <v>14</v>
      </c>
      <c r="G353" s="80">
        <f t="shared" si="125"/>
        <v>51</v>
      </c>
      <c r="H353" s="80" t="str">
        <f t="shared" si="115"/>
        <v>12|14</v>
      </c>
    </row>
    <row r="354" spans="1:8" x14ac:dyDescent="0.25">
      <c r="A354" s="79">
        <f t="shared" si="126"/>
        <v>46375</v>
      </c>
      <c r="B354" s="80">
        <f t="shared" si="127"/>
        <v>7</v>
      </c>
      <c r="C354" s="80" t="str">
        <f t="shared" si="114"/>
        <v>sábado</v>
      </c>
      <c r="D354" s="81" t="str">
        <f t="shared" si="113"/>
        <v/>
      </c>
      <c r="E354" s="80" t="str">
        <f t="shared" si="124"/>
        <v>Não</v>
      </c>
      <c r="F354" s="80" t="str">
        <f>IF(E354="Sim", COUNTIFS($E$2:E354, "Sim", $A$2:A354, "&gt;="&amp;DATE(YEAR(A354), MONTH(A354), 1)), "")</f>
        <v/>
      </c>
      <c r="G354" s="80">
        <f t="shared" si="125"/>
        <v>51</v>
      </c>
      <c r="H354" s="80" t="str">
        <f t="shared" si="115"/>
        <v/>
      </c>
    </row>
    <row r="355" spans="1:8" x14ac:dyDescent="0.25">
      <c r="A355" s="73">
        <f t="shared" ref="A355:A361" si="128">A354+1</f>
        <v>46376</v>
      </c>
      <c r="B355" s="72">
        <f t="shared" ref="B355:B361" si="129">WEEKDAY(A355,1)</f>
        <v>1</v>
      </c>
      <c r="C355" s="72" t="str">
        <f t="shared" si="114"/>
        <v>domingo</v>
      </c>
      <c r="D355" s="78" t="str">
        <f t="shared" si="113"/>
        <v/>
      </c>
      <c r="E355" s="72" t="str">
        <f t="shared" si="124"/>
        <v>Não</v>
      </c>
      <c r="F355" s="72" t="str">
        <f>IF(E355="Sim", COUNTIFS($E$2:E355, "Sim", $A$2:A355, "&gt;="&amp;DATE(YEAR(A355), MONTH(A355), 1)), "")</f>
        <v/>
      </c>
      <c r="G355" s="72">
        <f t="shared" si="125"/>
        <v>52</v>
      </c>
      <c r="H355" s="72" t="str">
        <f t="shared" si="115"/>
        <v/>
      </c>
    </row>
    <row r="356" spans="1:8" x14ac:dyDescent="0.25">
      <c r="A356" s="73">
        <f t="shared" si="128"/>
        <v>46377</v>
      </c>
      <c r="B356" s="72">
        <f t="shared" si="129"/>
        <v>2</v>
      </c>
      <c r="C356" s="72" t="str">
        <f t="shared" si="114"/>
        <v>segunda-feira</v>
      </c>
      <c r="D356" s="78" t="str">
        <f t="shared" si="113"/>
        <v/>
      </c>
      <c r="E356" s="72" t="str">
        <f t="shared" si="124"/>
        <v>Sim</v>
      </c>
      <c r="F356" s="72">
        <f>IF(E356="Sim", COUNTIFS($E$2:E356, "Sim", $A$2:A356, "&gt;="&amp;DATE(YEAR(A356), MONTH(A356), 1)), "")</f>
        <v>15</v>
      </c>
      <c r="G356" s="72">
        <f t="shared" si="125"/>
        <v>52</v>
      </c>
      <c r="H356" s="72" t="str">
        <f t="shared" si="115"/>
        <v>12|15</v>
      </c>
    </row>
    <row r="357" spans="1:8" x14ac:dyDescent="0.25">
      <c r="A357" s="73">
        <f t="shared" si="128"/>
        <v>46378</v>
      </c>
      <c r="B357" s="72">
        <f t="shared" si="129"/>
        <v>3</v>
      </c>
      <c r="C357" s="72" t="str">
        <f t="shared" si="114"/>
        <v>terça-feira</v>
      </c>
      <c r="D357" s="78" t="str">
        <f t="shared" si="113"/>
        <v/>
      </c>
      <c r="E357" s="72" t="str">
        <f t="shared" si="124"/>
        <v>Sim</v>
      </c>
      <c r="F357" s="72">
        <f>IF(E357="Sim", COUNTIFS($E$2:E357, "Sim", $A$2:A357, "&gt;="&amp;DATE(YEAR(A357), MONTH(A357), 1)), "")</f>
        <v>16</v>
      </c>
      <c r="G357" s="72">
        <f t="shared" si="125"/>
        <v>52</v>
      </c>
      <c r="H357" s="72" t="str">
        <f t="shared" si="115"/>
        <v>12|16</v>
      </c>
    </row>
    <row r="358" spans="1:8" x14ac:dyDescent="0.25">
      <c r="A358" s="73">
        <f t="shared" si="128"/>
        <v>46379</v>
      </c>
      <c r="B358" s="72">
        <f t="shared" si="129"/>
        <v>4</v>
      </c>
      <c r="C358" s="72" t="str">
        <f t="shared" si="114"/>
        <v>quarta-feira</v>
      </c>
      <c r="D358" s="78" t="str">
        <f t="shared" si="113"/>
        <v/>
      </c>
      <c r="E358" s="72" t="str">
        <f t="shared" si="124"/>
        <v>Sim</v>
      </c>
      <c r="F358" s="72">
        <f>IF(E358="Sim", COUNTIFS($E$2:E358, "Sim", $A$2:A358, "&gt;="&amp;DATE(YEAR(A358), MONTH(A358), 1)), "")</f>
        <v>17</v>
      </c>
      <c r="G358" s="72">
        <f t="shared" si="125"/>
        <v>52</v>
      </c>
      <c r="H358" s="72" t="str">
        <f t="shared" si="115"/>
        <v>12|17</v>
      </c>
    </row>
    <row r="359" spans="1:8" x14ac:dyDescent="0.25">
      <c r="A359" s="73">
        <f t="shared" si="128"/>
        <v>46380</v>
      </c>
      <c r="B359" s="72">
        <f t="shared" si="129"/>
        <v>5</v>
      </c>
      <c r="C359" s="72" t="str">
        <f t="shared" si="114"/>
        <v>quinta-feira</v>
      </c>
      <c r="D359" s="78" t="str">
        <f t="shared" si="113"/>
        <v/>
      </c>
      <c r="E359" s="72" t="str">
        <f t="shared" si="124"/>
        <v>Sim</v>
      </c>
      <c r="F359" s="72">
        <f>IF(E359="Sim", COUNTIFS($E$2:E359, "Sim", $A$2:A359, "&gt;="&amp;DATE(YEAR(A359), MONTH(A359), 1)), "")</f>
        <v>18</v>
      </c>
      <c r="G359" s="72">
        <f t="shared" si="125"/>
        <v>52</v>
      </c>
      <c r="H359" s="72" t="str">
        <f t="shared" si="115"/>
        <v>12|18</v>
      </c>
    </row>
    <row r="360" spans="1:8" x14ac:dyDescent="0.25">
      <c r="A360" s="73">
        <f t="shared" si="128"/>
        <v>46381</v>
      </c>
      <c r="B360" s="72">
        <f t="shared" si="129"/>
        <v>6</v>
      </c>
      <c r="C360" s="72" t="str">
        <f t="shared" si="114"/>
        <v>sexta-feira</v>
      </c>
      <c r="D360" s="78" t="str">
        <f t="shared" si="113"/>
        <v>Sim</v>
      </c>
      <c r="E360" s="72" t="str">
        <f t="shared" si="124"/>
        <v>Não</v>
      </c>
      <c r="F360" s="72" t="str">
        <f>IF(E360="Sim", COUNTIFS($E$2:E360, "Sim", $A$2:A360, "&gt;="&amp;DATE(YEAR(A360), MONTH(A360), 1)), "")</f>
        <v/>
      </c>
      <c r="G360" s="72">
        <f t="shared" si="125"/>
        <v>52</v>
      </c>
      <c r="H360" s="72" t="str">
        <f t="shared" si="115"/>
        <v/>
      </c>
    </row>
    <row r="361" spans="1:8" x14ac:dyDescent="0.25">
      <c r="A361" s="73">
        <f t="shared" si="128"/>
        <v>46382</v>
      </c>
      <c r="B361" s="72">
        <f t="shared" si="129"/>
        <v>7</v>
      </c>
      <c r="C361" s="72" t="str">
        <f t="shared" si="114"/>
        <v>sábado</v>
      </c>
      <c r="D361" s="78" t="str">
        <f t="shared" si="113"/>
        <v/>
      </c>
      <c r="E361" s="72" t="str">
        <f t="shared" si="124"/>
        <v>Não</v>
      </c>
      <c r="F361" s="72" t="str">
        <f>IF(E361="Sim", COUNTIFS($E$2:E361, "Sim", $A$2:A361, "&gt;="&amp;DATE(YEAR(A361), MONTH(A361), 1)), "")</f>
        <v/>
      </c>
      <c r="G361" s="72">
        <f t="shared" si="125"/>
        <v>52</v>
      </c>
      <c r="H361" s="72" t="str">
        <f t="shared" si="115"/>
        <v/>
      </c>
    </row>
    <row r="362" spans="1:8" x14ac:dyDescent="0.25">
      <c r="A362" s="79">
        <f t="shared" ref="A362:A366" si="130">A361+1</f>
        <v>46383</v>
      </c>
      <c r="B362" s="80">
        <f t="shared" ref="B362:B366" si="131">WEEKDAY(A362,1)</f>
        <v>1</v>
      </c>
      <c r="C362" s="80" t="str">
        <f t="shared" si="114"/>
        <v>domingo</v>
      </c>
      <c r="D362" s="81" t="str">
        <f t="shared" si="113"/>
        <v/>
      </c>
      <c r="E362" s="80" t="str">
        <f t="shared" si="124"/>
        <v>Não</v>
      </c>
      <c r="F362" s="80" t="str">
        <f>IF(E362="Sim", COUNTIFS($E$2:E362, "Sim", $A$2:A362, "&gt;="&amp;DATE(YEAR(A362), MONTH(A362), 1)), "")</f>
        <v/>
      </c>
      <c r="G362" s="80">
        <f t="shared" si="125"/>
        <v>53</v>
      </c>
      <c r="H362" s="80" t="str">
        <f t="shared" si="115"/>
        <v/>
      </c>
    </row>
    <row r="363" spans="1:8" x14ac:dyDescent="0.25">
      <c r="A363" s="79">
        <f t="shared" si="130"/>
        <v>46384</v>
      </c>
      <c r="B363" s="80">
        <f t="shared" si="131"/>
        <v>2</v>
      </c>
      <c r="C363" s="80" t="str">
        <f t="shared" si="114"/>
        <v>segunda-feira</v>
      </c>
      <c r="D363" s="81" t="str">
        <f t="shared" si="113"/>
        <v/>
      </c>
      <c r="E363" s="80" t="str">
        <f t="shared" si="124"/>
        <v>Sim</v>
      </c>
      <c r="F363" s="80">
        <f>IF(E363="Sim", COUNTIFS($E$2:E363, "Sim", $A$2:A363, "&gt;="&amp;DATE(YEAR(A363), MONTH(A363), 1)), "")</f>
        <v>19</v>
      </c>
      <c r="G363" s="80">
        <f t="shared" si="125"/>
        <v>53</v>
      </c>
      <c r="H363" s="80" t="str">
        <f t="shared" si="115"/>
        <v>12|19</v>
      </c>
    </row>
    <row r="364" spans="1:8" x14ac:dyDescent="0.25">
      <c r="A364" s="79">
        <f t="shared" si="130"/>
        <v>46385</v>
      </c>
      <c r="B364" s="80">
        <f t="shared" si="131"/>
        <v>3</v>
      </c>
      <c r="C364" s="80" t="str">
        <f t="shared" si="114"/>
        <v>terça-feira</v>
      </c>
      <c r="D364" s="81" t="str">
        <f t="shared" si="113"/>
        <v/>
      </c>
      <c r="E364" s="80" t="str">
        <f t="shared" si="124"/>
        <v>Sim</v>
      </c>
      <c r="F364" s="80">
        <f>IF(E364="Sim", COUNTIFS($E$2:E364, "Sim", $A$2:A364, "&gt;="&amp;DATE(YEAR(A364), MONTH(A364), 1)), "")</f>
        <v>20</v>
      </c>
      <c r="G364" s="80">
        <f t="shared" si="125"/>
        <v>53</v>
      </c>
      <c r="H364" s="80" t="str">
        <f t="shared" si="115"/>
        <v>12|20</v>
      </c>
    </row>
    <row r="365" spans="1:8" x14ac:dyDescent="0.25">
      <c r="A365" s="79">
        <f t="shared" si="130"/>
        <v>46386</v>
      </c>
      <c r="B365" s="80">
        <f t="shared" si="131"/>
        <v>4</v>
      </c>
      <c r="C365" s="80" t="str">
        <f t="shared" si="114"/>
        <v>quarta-feira</v>
      </c>
      <c r="D365" s="81" t="str">
        <f t="shared" si="113"/>
        <v/>
      </c>
      <c r="E365" s="80" t="str">
        <f t="shared" si="124"/>
        <v>Sim</v>
      </c>
      <c r="F365" s="80">
        <f>IF(E365="Sim", COUNTIFS($E$2:E365, "Sim", $A$2:A365, "&gt;="&amp;DATE(YEAR(A365), MONTH(A365), 1)), "")</f>
        <v>21</v>
      </c>
      <c r="G365" s="80">
        <f t="shared" si="125"/>
        <v>53</v>
      </c>
      <c r="H365" s="80" t="str">
        <f t="shared" si="115"/>
        <v>12|21</v>
      </c>
    </row>
    <row r="366" spans="1:8" x14ac:dyDescent="0.25">
      <c r="A366" s="79">
        <f t="shared" si="130"/>
        <v>46387</v>
      </c>
      <c r="B366" s="80">
        <f t="shared" si="131"/>
        <v>5</v>
      </c>
      <c r="C366" s="80" t="str">
        <f t="shared" si="114"/>
        <v>quinta-feira</v>
      </c>
      <c r="D366" s="81" t="str">
        <f t="shared" si="113"/>
        <v/>
      </c>
      <c r="E366" s="80" t="str">
        <f t="shared" si="124"/>
        <v>Sim</v>
      </c>
      <c r="F366" s="80">
        <f>IF(E366="Sim", COUNTIFS($E$2:E366, "Sim", $A$2:A366, "&gt;="&amp;DATE(YEAR(A366), MONTH(A366), 1)), "")</f>
        <v>22</v>
      </c>
      <c r="G366" s="80">
        <f t="shared" si="125"/>
        <v>53</v>
      </c>
      <c r="H366" s="80" t="str">
        <f t="shared" si="115"/>
        <v>12|22</v>
      </c>
    </row>
  </sheetData>
  <autoFilter ref="A1:L1" xr:uid="{F4D2DE5A-37C0-46A9-BCD8-394D682CF4CF}"/>
  <conditionalFormatting sqref="C2:C366">
    <cfRule type="cellIs" dxfId="1" priority="1" operator="equal">
      <formula>"Domingo"</formula>
    </cfRule>
    <cfRule type="cellIs" dxfId="0" priority="2" operator="equal">
      <formula>"Sábado"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CF67-4C2E-49D5-BB8C-5CDC89F9AF46}">
  <dimension ref="A1:AJ58"/>
  <sheetViews>
    <sheetView showGridLines="0" topLeftCell="A17" zoomScale="85" zoomScaleNormal="85" workbookViewId="0">
      <selection activeCell="B15" sqref="B15:E15"/>
    </sheetView>
  </sheetViews>
  <sheetFormatPr defaultRowHeight="13.2" outlineLevelRow="1" outlineLevelCol="1" x14ac:dyDescent="0.25"/>
  <cols>
    <col min="1" max="1" width="2.5546875" customWidth="1"/>
    <col min="2" max="2" width="21.88671875" customWidth="1"/>
    <col min="3" max="3" width="31.44140625" customWidth="1"/>
    <col min="4" max="4" width="33.33203125" customWidth="1"/>
    <col min="5" max="5" width="61.109375" hidden="1" customWidth="1" outlineLevel="1"/>
    <col min="6" max="6" width="13.6640625" customWidth="1" collapsed="1"/>
    <col min="7" max="7" width="11.44140625" customWidth="1"/>
    <col min="8" max="8" width="2.5546875" customWidth="1"/>
  </cols>
  <sheetData>
    <row r="1" spans="2:36" ht="7.2" customHeight="1" x14ac:dyDescent="0.25"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2:36" ht="21" x14ac:dyDescent="0.25">
      <c r="B2" s="295" t="str">
        <f>"DETALHAMENTO DAS ENTREGAS   ·   "&amp;_xlfn.TEXTAFTER('Consolidado- Comber'!$B$5,"- ")</f>
        <v>DETALHAMENTO DAS ENTREGAS   ·   SETEMBRO 2026</v>
      </c>
      <c r="C2" s="191"/>
      <c r="D2" s="191"/>
      <c r="E2" s="191"/>
      <c r="F2" s="191"/>
      <c r="G2" s="191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2:36" ht="22.2" customHeight="1" x14ac:dyDescent="0.25">
      <c r="B3" s="296" t="s">
        <v>171</v>
      </c>
      <c r="C3" s="191"/>
      <c r="D3" s="191"/>
      <c r="E3" s="191"/>
      <c r="F3" s="191"/>
      <c r="G3" s="191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</row>
    <row r="4" spans="2:36" ht="3.6" customHeight="1" thickBot="1" x14ac:dyDescent="0.3">
      <c r="B4" s="152"/>
      <c r="C4" s="152"/>
      <c r="D4" s="152"/>
      <c r="E4" s="152"/>
      <c r="F4" s="152"/>
      <c r="G4" s="15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</row>
    <row r="5" spans="2:36" ht="4.2" customHeight="1" thickTop="1" x14ac:dyDescent="0.25"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</row>
    <row r="6" spans="2:36" ht="25.95" customHeight="1" x14ac:dyDescent="0.25">
      <c r="B6" s="153" t="s">
        <v>172</v>
      </c>
      <c r="C6" s="154" t="s">
        <v>173</v>
      </c>
      <c r="D6" s="154" t="s">
        <v>93</v>
      </c>
      <c r="E6" s="154" t="s">
        <v>174</v>
      </c>
      <c r="F6" s="155" t="s">
        <v>175</v>
      </c>
      <c r="G6" s="156" t="s">
        <v>176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</row>
    <row r="7" spans="2:36" ht="30" customHeight="1" x14ac:dyDescent="0.25">
      <c r="B7" s="298" t="str">
        <f>$C$33&amp;"º DIA ÚTIL   ·   "&amp;TEXT(_xlfn.XLOOKUP('Consolidado- Comber'!$A$1&amp;"|"&amp;$C$33,ListBox!$H:$H,ListBox!$A:$A,0,0),"dd/mmm")&amp;"   ·   Fechamento das áreas operacionais e validação fiscal"</f>
        <v>1º DIA ÚTIL   ·   01/out   ·   Fechamento das áreas operacionais e validação fiscal</v>
      </c>
      <c r="C7" s="299"/>
      <c r="D7" s="299"/>
      <c r="E7" s="299"/>
      <c r="F7" s="116">
        <f>SUM(F8:F12)</f>
        <v>35</v>
      </c>
      <c r="G7" s="117">
        <f>'Consolidado- Comber'!$H$8</f>
        <v>0.75</v>
      </c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</row>
    <row r="8" spans="2:36" ht="30" customHeight="1" x14ac:dyDescent="0.25">
      <c r="B8" s="118" t="s">
        <v>47</v>
      </c>
      <c r="C8" s="119" t="s">
        <v>46</v>
      </c>
      <c r="D8" s="120" t="s">
        <v>177</v>
      </c>
      <c r="E8" s="121" t="s">
        <v>178</v>
      </c>
      <c r="F8" s="122" cm="1">
        <f t="array" ref="F8">SUMPRODUCT(--(COUNTIFS('Consolidado- Comber'!$C$8:$C$146,$B$33:$B$45,'Consolidado- Comber'!$D$8:$D$146,"Compras",'Consolidado- Comber'!$O$8:$O$146,$C$33)&gt;0))</f>
        <v>7</v>
      </c>
      <c r="G8" s="123">
        <f>'Consolidado- Comber'!$H$8</f>
        <v>0.75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</row>
    <row r="9" spans="2:36" ht="30" customHeight="1" x14ac:dyDescent="0.25">
      <c r="B9" s="124" t="s">
        <v>179</v>
      </c>
      <c r="C9" s="125" t="s">
        <v>50</v>
      </c>
      <c r="D9" s="126" t="s">
        <v>180</v>
      </c>
      <c r="E9" s="127" t="s">
        <v>178</v>
      </c>
      <c r="F9" s="128" cm="1">
        <f t="array" ref="F9">SUMPRODUCT(--(COUNTIFS('Consolidado- Comber'!$C$8:$C$146,$B$33:$B$45,'Consolidado- Comber'!$D$8:$D$146,"Vendas",'Consolidado- Comber'!$O$8:$O$146,$C$33)&gt;0))</f>
        <v>7</v>
      </c>
      <c r="G9" s="129">
        <f>'Consolidado- Comber'!$H$8</f>
        <v>0.75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</row>
    <row r="10" spans="2:36" ht="30" customHeight="1" x14ac:dyDescent="0.25">
      <c r="B10" s="130" t="s">
        <v>53</v>
      </c>
      <c r="C10" s="119" t="s">
        <v>53</v>
      </c>
      <c r="D10" s="120" t="s">
        <v>181</v>
      </c>
      <c r="E10" s="121" t="s">
        <v>178</v>
      </c>
      <c r="F10" s="122" cm="1">
        <f t="array" ref="F10">SUMPRODUCT(--(COUNTIFS('Consolidado- Comber'!$C$8:$C$146,$B$33:$B$45,'Consolidado- Comber'!$D$8:$D$146,"Estoque",'Consolidado- Comber'!$O$8:$O$146,$C$33)&gt;0))</f>
        <v>7</v>
      </c>
      <c r="G10" s="123">
        <f>'Consolidado- Comber'!$H$8</f>
        <v>0.75</v>
      </c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</row>
    <row r="11" spans="2:36" ht="30" customHeight="1" x14ac:dyDescent="0.25">
      <c r="B11" s="130" t="s">
        <v>214</v>
      </c>
      <c r="C11" s="119" t="str">
        <f>B11</f>
        <v>Escrita Fiscal</v>
      </c>
      <c r="D11" s="120" t="s">
        <v>215</v>
      </c>
      <c r="E11" s="121" t="s">
        <v>178</v>
      </c>
      <c r="F11" s="122" cm="1">
        <f t="array" ref="F11">SUMPRODUCT(--(COUNTIFS('Consolidado- Comber'!$C$8:$C$146,$B$33:$B$45,'Consolidado- Comber'!$D$8:$D$146,"Estoque",'Consolidado- Comber'!$O$8:$O$146,$C$33)&gt;0))</f>
        <v>7</v>
      </c>
      <c r="G11" s="123">
        <f>'Consolidado- Comber'!$H$8</f>
        <v>0.75</v>
      </c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</row>
    <row r="12" spans="2:36" ht="30" customHeight="1" x14ac:dyDescent="0.25">
      <c r="B12" s="138" t="s">
        <v>61</v>
      </c>
      <c r="C12" s="119" t="s">
        <v>216</v>
      </c>
      <c r="D12" s="120" t="s">
        <v>189</v>
      </c>
      <c r="E12" s="121" t="s">
        <v>178</v>
      </c>
      <c r="F12" s="122" cm="1">
        <f t="array" ref="F12">SUMPRODUCT(--(COUNTIFS('Consolidado- Comber'!$C$8:$C$146,$B$33:$B$45,'Consolidado- Comber'!$D$8:$D$146,"Validação Fiscal",'Consolidado- Comber'!$O$8:$O$146,$C$33)&gt;0))</f>
        <v>7</v>
      </c>
      <c r="G12" s="123">
        <f>'Consolidado- Comber'!$H$8</f>
        <v>0.75</v>
      </c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</row>
    <row r="13" spans="2:36" ht="30" customHeight="1" x14ac:dyDescent="0.25">
      <c r="B13" s="300" t="str">
        <f>$C$34&amp;"º DIA ÚTIL   ·   "&amp;TEXT(_xlfn.XLOOKUP('Consolidado- Comber'!$A$1&amp;"|"&amp;$C$34,ListBox!$H:$H,ListBox!$A:$A,0,0),"dd/mmm")&amp;"   ·   Correção dos apontamentos da validação fiscal"</f>
        <v>2º DIA ÚTIL   ·   02/out   ·   Correção dos apontamentos da validação fiscal</v>
      </c>
      <c r="C13" s="301"/>
      <c r="D13" s="301"/>
      <c r="E13" s="301"/>
      <c r="F13" s="136">
        <f>SUM(F14:F14)</f>
        <v>7</v>
      </c>
      <c r="G13" s="137">
        <f>'Consolidado- Comber'!$H$8</f>
        <v>0.75</v>
      </c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</row>
    <row r="14" spans="2:36" ht="30" customHeight="1" x14ac:dyDescent="0.25">
      <c r="B14" s="138" t="s">
        <v>61</v>
      </c>
      <c r="C14" s="119" t="s">
        <v>222</v>
      </c>
      <c r="D14" s="120" t="s">
        <v>189</v>
      </c>
      <c r="E14" s="121" t="s">
        <v>178</v>
      </c>
      <c r="F14" s="122" cm="1">
        <f t="array" ref="F14">SUMPRODUCT(--(COUNTIFS('Consolidado- Comber'!$C$8:$C$146,$B$33:$B$45,'Consolidado- Comber'!$D$8:$D$146,"Correção Validação Fiscal",'Consolidado- Comber'!$O$8:$O$146,$C$34)&gt;0))</f>
        <v>7</v>
      </c>
      <c r="G14" s="123">
        <f>'Consolidado- Comber'!$H$8</f>
        <v>0.75</v>
      </c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</row>
    <row r="15" spans="2:36" ht="30" customHeight="1" x14ac:dyDescent="0.25">
      <c r="B15" s="302" t="str">
        <f>$C$35&amp;"º DIA ÚTIL   ·   "&amp;TEXT(_xlfn.XLOOKUP('Consolidado- Comber'!$A$1&amp;"|"&amp;$C$35,ListBox!$H:$H,ListBox!$A:$A,0,0),"dd/mmm")&amp;"   ·   Financeiro, tesouraria e patrimônio"</f>
        <v>3º DIA ÚTIL   ·   05/out   ·   Financeiro, tesouraria e patrimônio</v>
      </c>
      <c r="C15" s="303"/>
      <c r="D15" s="303"/>
      <c r="E15" s="303"/>
      <c r="F15" s="131">
        <f>SUM(F16:F19)</f>
        <v>46</v>
      </c>
      <c r="G15" s="132">
        <f>'Consolidado- Comber'!$H$8</f>
        <v>0.75</v>
      </c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</row>
    <row r="16" spans="2:36" ht="30" customHeight="1" x14ac:dyDescent="0.25">
      <c r="B16" s="133" t="s">
        <v>55</v>
      </c>
      <c r="C16" s="119" t="s">
        <v>98</v>
      </c>
      <c r="D16" s="120" t="s">
        <v>182</v>
      </c>
      <c r="E16" s="121" t="s">
        <v>183</v>
      </c>
      <c r="F16" s="122" cm="1">
        <f t="array" ref="F16">SUMPRODUCT(--(COUNTIFS('Consolidado- Comber'!$C$8:$C$146,$B$33:$B$45,'Consolidado- Comber'!$D$8:$D$146,"Contas a Pagar*",'Consolidado- Comber'!$O$8:$O$146,$C$35)&gt;0))</f>
        <v>12</v>
      </c>
      <c r="G16" s="123">
        <f>'Consolidado- Comber'!$H$8</f>
        <v>0.75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</row>
    <row r="17" spans="1:36" ht="30" customHeight="1" x14ac:dyDescent="0.25">
      <c r="B17" s="134" t="s">
        <v>55</v>
      </c>
      <c r="C17" s="125" t="s">
        <v>56</v>
      </c>
      <c r="D17" s="126" t="s">
        <v>184</v>
      </c>
      <c r="E17" s="127" t="s">
        <v>183</v>
      </c>
      <c r="F17" s="128" cm="1">
        <f t="array" ref="F17">SUMPRODUCT(--(COUNTIFS('Consolidado- Comber'!$C$8:$C$146,$B$33:$B$45,'Consolidado- Comber'!$D$8:$D$146,"Contas a Receber*",'Consolidado- Comber'!$O$8:$O$146,$C$35)&gt;0))</f>
        <v>12</v>
      </c>
      <c r="G17" s="129">
        <f>'Consolidado- Comber'!$H$8</f>
        <v>0.75</v>
      </c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</row>
    <row r="18" spans="1:36" ht="30" customHeight="1" x14ac:dyDescent="0.25">
      <c r="B18" s="133" t="s">
        <v>55</v>
      </c>
      <c r="C18" s="119" t="s">
        <v>57</v>
      </c>
      <c r="D18" s="120" t="s">
        <v>182</v>
      </c>
      <c r="E18" s="121" t="s">
        <v>183</v>
      </c>
      <c r="F18" s="122" cm="1">
        <f t="array" ref="F18">SUMPRODUCT(--(COUNTIFS('Consolidado- Comber'!$C$8:$C$146,$B$33:$B$45,'Consolidado- Comber'!$D$8:$D$146,"Tesouraria",'Consolidado- Comber'!$O$8:$O$146,$C$35)&gt;0))</f>
        <v>12</v>
      </c>
      <c r="G18" s="123">
        <f>'Consolidado- Comber'!$H$8</f>
        <v>0.75</v>
      </c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</row>
    <row r="19" spans="1:36" ht="30" customHeight="1" x14ac:dyDescent="0.25">
      <c r="B19" s="135" t="s">
        <v>185</v>
      </c>
      <c r="C19" s="125" t="s">
        <v>186</v>
      </c>
      <c r="D19" s="126" t="s">
        <v>187</v>
      </c>
      <c r="E19" s="127" t="s">
        <v>188</v>
      </c>
      <c r="F19" s="128" cm="1">
        <f t="array" ref="F19">SUMPRODUCT(--(COUNTIFS('Consolidado- Comber'!$C$8:$C$146,$B$33:$B$45,'Consolidado- Comber'!$D$8:$D$146,"Patrimômio*",'Consolidado- Comber'!$O$8:$O$146,$C$35)&gt;0))</f>
        <v>10</v>
      </c>
      <c r="G19" s="129">
        <f>'Consolidado- Comber'!$H$8</f>
        <v>0.75</v>
      </c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</row>
    <row r="20" spans="1:36" ht="30" customHeight="1" x14ac:dyDescent="0.25">
      <c r="B20" s="304" t="str">
        <f>$C$36&amp;"º DIA ÚTIL   ·   "&amp;TEXT(_xlfn.XLOOKUP('Consolidado- Comber'!$A$1&amp;"|"&amp;$C$36,ListBox!$H:$H,ListBox!$A:$A,0,0),"dd/mmm")&amp;"   ·   Folha de pagamento"</f>
        <v>4º DIA ÚTIL   ·   06/out   ·   Folha de pagamento</v>
      </c>
      <c r="C20" s="305"/>
      <c r="D20" s="305"/>
      <c r="E20" s="305"/>
      <c r="F20" s="139">
        <f>SUM(F21:F21)</f>
        <v>6</v>
      </c>
      <c r="G20" s="140">
        <f>'Consolidado- Comber'!$H$8</f>
        <v>0.75</v>
      </c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</row>
    <row r="21" spans="1:36" ht="30" customHeight="1" x14ac:dyDescent="0.25">
      <c r="B21" s="141" t="s">
        <v>43</v>
      </c>
      <c r="C21" s="119" t="s">
        <v>42</v>
      </c>
      <c r="D21" s="120" t="s">
        <v>190</v>
      </c>
      <c r="E21" s="121" t="s">
        <v>191</v>
      </c>
      <c r="F21" s="122" cm="1">
        <f t="array" ref="F21">SUMPRODUCT(--(COUNTIFS('Consolidado- Comber'!$C$8:$C$146,$B$33:$B$45,'Consolidado- Comber'!$D$8:$D$146,"Folha de Pagamento",'Consolidado- Comber'!$O$8:$O$146,$C$36)&gt;0))</f>
        <v>6</v>
      </c>
      <c r="G21" s="123">
        <f>'Consolidado- Comber'!$H$8</f>
        <v>0.75</v>
      </c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</row>
    <row r="22" spans="1:36" ht="30" customHeight="1" x14ac:dyDescent="0.25">
      <c r="B22" s="300" t="str">
        <f>$C$37&amp;"º DIA ÚTIL   ·   "&amp;TEXT(_xlfn.XLOOKUP('Consolidado- Comber'!$A$1&amp;"|"&amp;$C$37,ListBox!$H:$H,ListBox!$A:$A,0,0),"dd/mmm")&amp;"   ·   Apuração de tributos"</f>
        <v>7º DIA ÚTIL   ·   09/out   ·   Apuração de tributos</v>
      </c>
      <c r="C22" s="301"/>
      <c r="D22" s="301"/>
      <c r="E22" s="301"/>
      <c r="F22" s="136">
        <f>SUM(F23:F23)</f>
        <v>7</v>
      </c>
      <c r="G22" s="137">
        <f>'Consolidado- Comber'!$H$8</f>
        <v>0.75</v>
      </c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</row>
    <row r="23" spans="1:36" ht="30" customHeight="1" x14ac:dyDescent="0.25">
      <c r="B23" s="138" t="s">
        <v>61</v>
      </c>
      <c r="C23" s="119" t="s">
        <v>60</v>
      </c>
      <c r="D23" s="120" t="s">
        <v>189</v>
      </c>
      <c r="E23" s="121" t="s">
        <v>178</v>
      </c>
      <c r="F23" s="122" cm="1">
        <f t="array" ref="F23">SUMPRODUCT(--(COUNTIFS('Consolidado- Comber'!$C$8:$C$146,$B$33:$B$45,'Consolidado- Comber'!$D$8:$D$146,"Tributos",'Consolidado- Comber'!$O$8:$O$146,$C$37)&gt;0))</f>
        <v>7</v>
      </c>
      <c r="G23" s="123">
        <f>'Consolidado- Comber'!$H$8</f>
        <v>0.75</v>
      </c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</row>
    <row r="24" spans="1:36" ht="30" customHeight="1" x14ac:dyDescent="0.25">
      <c r="B24" s="306" t="str">
        <f>$C$38&amp;"º DIA ÚTIL   ·   "&amp;TEXT(_xlfn.XLOOKUP('Consolidado- Comber'!$A$1&amp;"|"&amp;$C$38,ListBox!$H:$H,ListBox!$A:$A,0,0),"dd/mmm")&amp;"   ·   Integração contábil"</f>
        <v>9º DIA ÚTIL   ·   14/out   ·   Integração contábil</v>
      </c>
      <c r="C24" s="307"/>
      <c r="D24" s="307"/>
      <c r="E24" s="307"/>
      <c r="F24" s="142">
        <f>SUM(F25:F25)</f>
        <v>6</v>
      </c>
      <c r="G24" s="143">
        <f>'Consolidado- Comber'!$H$8</f>
        <v>0.75</v>
      </c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</row>
    <row r="25" spans="1:36" ht="30" customHeight="1" x14ac:dyDescent="0.25">
      <c r="B25" s="144" t="s">
        <v>66</v>
      </c>
      <c r="C25" s="119" t="s">
        <v>192</v>
      </c>
      <c r="D25" s="120" t="s">
        <v>193</v>
      </c>
      <c r="E25" s="121" t="s">
        <v>191</v>
      </c>
      <c r="F25" s="122" cm="1">
        <f t="array" ref="F25">SUMPRODUCT(--(COUNTIFS('Consolidado- Comber'!$C$8:$C$146,$B$33:$B$45,'Consolidado- Comber'!$D$8:$D$146,"Contábil/Integração",'Consolidado- Comber'!$O$8:$O$146,$C$38)&gt;0))</f>
        <v>6</v>
      </c>
      <c r="G25" s="123">
        <f>'Consolidado- Comber'!$H$8</f>
        <v>0.75</v>
      </c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</row>
    <row r="26" spans="1:36" ht="30" customHeight="1" x14ac:dyDescent="0.25">
      <c r="B26" s="308" t="str">
        <f>$C$39&amp;"º DIA ÚTIL   ·   "&amp;TEXT(_xlfn.XLOOKUP('Consolidado- Comber'!$A$1&amp;"|"&amp;$C$39,ListBox!$H:$H,ListBox!$A:$A,0,0),"dd/mmm")&amp;"   ·   Entrega do balancete fechado"</f>
        <v>15º DIA ÚTIL   ·   22/out   ·   Entrega do balancete fechado</v>
      </c>
      <c r="C26" s="309"/>
      <c r="D26" s="309"/>
      <c r="E26" s="309"/>
      <c r="F26" s="145">
        <f>SUM(F27:F27)</f>
        <v>6</v>
      </c>
      <c r="G26" s="146">
        <f>'Consolidado- Comber'!$H$8</f>
        <v>0.75</v>
      </c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</row>
    <row r="27" spans="1:36" ht="30" customHeight="1" thickBot="1" x14ac:dyDescent="0.3">
      <c r="B27" s="147" t="s">
        <v>66</v>
      </c>
      <c r="C27" s="148" t="s">
        <v>70</v>
      </c>
      <c r="D27" s="189" t="s">
        <v>193</v>
      </c>
      <c r="E27" s="149" t="s">
        <v>191</v>
      </c>
      <c r="F27" s="150" cm="1">
        <f t="array" ref="F27">SUMPRODUCT(--(COUNTIFS('Consolidado- Comber'!$C$8:$C$146,$B$33:$B$45,'Consolidado- Comber'!$D$8:$D$146,"Balancete Fechado",'Consolidado- Comber'!$O$8:$O$146,$C$39)&gt;0))</f>
        <v>6</v>
      </c>
      <c r="G27" s="151">
        <f>'Consolidado- Comber'!$H$8</f>
        <v>0.75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</row>
    <row r="28" spans="1:36" x14ac:dyDescent="0.25"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</row>
    <row r="29" spans="1:36" ht="22.2" customHeight="1" x14ac:dyDescent="0.25">
      <c r="B29" s="297" t="s">
        <v>194</v>
      </c>
      <c r="C29" s="191"/>
      <c r="D29" s="191"/>
      <c r="E29" s="191"/>
      <c r="F29" s="191"/>
      <c r="G29" s="191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</row>
    <row r="30" spans="1:36" outlineLevel="1" x14ac:dyDescent="0.25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</row>
    <row r="31" spans="1:36" outlineLevel="1" x14ac:dyDescent="0.25">
      <c r="A31" s="112"/>
      <c r="B31" s="113" t="s">
        <v>195</v>
      </c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</row>
    <row r="32" spans="1:36" outlineLevel="1" x14ac:dyDescent="0.25">
      <c r="A32" s="112"/>
      <c r="B32" s="114" t="s">
        <v>196</v>
      </c>
      <c r="C32" s="114" t="s">
        <v>197</v>
      </c>
      <c r="D32" s="114" t="s">
        <v>198</v>
      </c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</row>
    <row r="33" spans="1:36" outlineLevel="1" x14ac:dyDescent="0.25">
      <c r="A33" s="112"/>
      <c r="B33" s="115" t="s">
        <v>105</v>
      </c>
      <c r="C33" s="115">
        <v>1</v>
      </c>
      <c r="D33" s="115" t="s">
        <v>43</v>
      </c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</row>
    <row r="34" spans="1:36" outlineLevel="1" x14ac:dyDescent="0.25">
      <c r="A34" s="112"/>
      <c r="B34" s="115" t="s">
        <v>109</v>
      </c>
      <c r="C34" s="115">
        <v>2</v>
      </c>
      <c r="D34" s="115" t="s">
        <v>47</v>
      </c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</row>
    <row r="35" spans="1:36" outlineLevel="1" x14ac:dyDescent="0.25">
      <c r="A35" s="112"/>
      <c r="B35" s="115" t="s">
        <v>110</v>
      </c>
      <c r="C35" s="115">
        <v>3</v>
      </c>
      <c r="D35" s="115" t="s">
        <v>179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</row>
    <row r="36" spans="1:36" outlineLevel="1" x14ac:dyDescent="0.25">
      <c r="A36" s="112"/>
      <c r="B36" s="115" t="s">
        <v>111</v>
      </c>
      <c r="C36" s="115">
        <v>4</v>
      </c>
      <c r="D36" s="115" t="s">
        <v>53</v>
      </c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</row>
    <row r="37" spans="1:36" outlineLevel="1" x14ac:dyDescent="0.25">
      <c r="A37" s="112"/>
      <c r="B37" s="115" t="s">
        <v>112</v>
      </c>
      <c r="C37" s="115">
        <v>7</v>
      </c>
      <c r="D37" s="115" t="s">
        <v>55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</row>
    <row r="38" spans="1:36" outlineLevel="1" x14ac:dyDescent="0.25">
      <c r="A38" s="112"/>
      <c r="B38" s="115" t="s">
        <v>113</v>
      </c>
      <c r="C38" s="115">
        <v>9</v>
      </c>
      <c r="D38" s="115" t="s">
        <v>185</v>
      </c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</row>
    <row r="39" spans="1:36" outlineLevel="1" x14ac:dyDescent="0.25">
      <c r="A39" s="112"/>
      <c r="B39" s="115" t="s">
        <v>115</v>
      </c>
      <c r="C39" s="115">
        <v>15</v>
      </c>
      <c r="D39" s="115" t="s">
        <v>61</v>
      </c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</row>
    <row r="40" spans="1:36" outlineLevel="1" x14ac:dyDescent="0.25">
      <c r="A40" s="112"/>
      <c r="B40" s="115" t="s">
        <v>116</v>
      </c>
      <c r="C40" s="115"/>
      <c r="D40" s="115" t="s">
        <v>66</v>
      </c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</row>
    <row r="41" spans="1:36" outlineLevel="1" x14ac:dyDescent="0.25">
      <c r="A41" s="112"/>
      <c r="B41" s="115" t="s">
        <v>117</v>
      </c>
      <c r="C41" s="115"/>
      <c r="D41" s="115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</row>
    <row r="42" spans="1:36" outlineLevel="1" x14ac:dyDescent="0.25">
      <c r="A42" s="112"/>
      <c r="B42" s="115" t="s">
        <v>118</v>
      </c>
      <c r="C42" s="115"/>
      <c r="D42" s="115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</row>
    <row r="43" spans="1:36" outlineLevel="1" x14ac:dyDescent="0.25">
      <c r="A43" s="112"/>
      <c r="B43" s="115" t="s">
        <v>119</v>
      </c>
      <c r="C43" s="115"/>
      <c r="D43" s="115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</row>
    <row r="44" spans="1:36" outlineLevel="1" x14ac:dyDescent="0.25">
      <c r="A44" s="112"/>
      <c r="B44" s="115" t="s">
        <v>120</v>
      </c>
      <c r="C44" s="115"/>
      <c r="D44" s="115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</row>
    <row r="45" spans="1:36" outlineLevel="1" x14ac:dyDescent="0.25">
      <c r="A45" s="112"/>
      <c r="B45" s="115" t="s">
        <v>121</v>
      </c>
      <c r="C45" s="115"/>
      <c r="D45" s="115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</row>
    <row r="46" spans="1:36" x14ac:dyDescent="0.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</row>
    <row r="47" spans="1:36" x14ac:dyDescent="0.2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</row>
    <row r="48" spans="1:36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</row>
    <row r="49" spans="1:36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</row>
    <row r="50" spans="1:36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</row>
    <row r="51" spans="1:36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</row>
    <row r="52" spans="1:36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</row>
    <row r="53" spans="1:36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</row>
    <row r="54" spans="1:36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</row>
    <row r="55" spans="1:36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</row>
    <row r="56" spans="1:36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</row>
    <row r="57" spans="1:36" x14ac:dyDescent="0.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</row>
    <row r="58" spans="1:36" x14ac:dyDescent="0.2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</row>
  </sheetData>
  <mergeCells count="10">
    <mergeCell ref="B2:G2"/>
    <mergeCell ref="B3:G3"/>
    <mergeCell ref="B29:G29"/>
    <mergeCell ref="B7:E7"/>
    <mergeCell ref="B13:E13"/>
    <mergeCell ref="B15:E15"/>
    <mergeCell ref="B20:E20"/>
    <mergeCell ref="B22:E22"/>
    <mergeCell ref="B24:E24"/>
    <mergeCell ref="B26:E26"/>
  </mergeCells>
  <pageMargins left="0.511811024" right="0.511811024" top="0.78740157499999996" bottom="0.78740157499999996" header="0.31496062000000002" footer="0.31496062000000002"/>
  <ignoredErrors>
    <ignoredError sqref="F8:F2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1F23-6914-4A8A-8D3C-B61B347D4D7A}">
  <dimension ref="A1"/>
  <sheetViews>
    <sheetView workbookViewId="0">
      <selection activeCell="K11" sqref="K11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E157-8F0A-4EAD-B01B-2EA74C5D1F00}">
  <sheetPr>
    <tabColor rgb="FF152C4E"/>
  </sheetPr>
  <dimension ref="B1:P30"/>
  <sheetViews>
    <sheetView showGridLines="0" topLeftCell="A2" zoomScale="80" zoomScaleNormal="80" workbookViewId="0">
      <selection activeCell="T8" sqref="T8"/>
    </sheetView>
  </sheetViews>
  <sheetFormatPr defaultRowHeight="13.2" x14ac:dyDescent="0.25"/>
  <cols>
    <col min="1" max="1" width="1.88671875" customWidth="1"/>
    <col min="2" max="3" width="18.5546875" customWidth="1"/>
    <col min="4" max="4" width="13" customWidth="1"/>
    <col min="5" max="5" width="2.5546875" customWidth="1"/>
    <col min="6" max="7" width="18.5546875" customWidth="1"/>
    <col min="8" max="8" width="13" customWidth="1"/>
    <col min="9" max="9" width="2.5546875" customWidth="1"/>
    <col min="10" max="11" width="18.5546875" customWidth="1"/>
    <col min="12" max="12" width="13" customWidth="1"/>
    <col min="13" max="13" width="2.5546875" customWidth="1"/>
    <col min="14" max="15" width="18.5546875" customWidth="1"/>
    <col min="16" max="16" width="13" customWidth="1"/>
    <col min="17" max="17" width="1.88671875" customWidth="1"/>
  </cols>
  <sheetData>
    <row r="1" spans="2:16" ht="10.199999999999999" customHeight="1" x14ac:dyDescent="0.25"/>
    <row r="2" spans="2:16" ht="48" customHeight="1" x14ac:dyDescent="0.25">
      <c r="B2" s="190" t="s">
        <v>199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</row>
    <row r="3" spans="2:16" ht="25.95" customHeight="1" x14ac:dyDescent="0.25">
      <c r="B3" s="192" t="str">
        <f>"GRUPO COMBER   ·   "&amp;_xlfn.TEXTAFTER('Consolidado- Comber'!$B$5,"- ")</f>
        <v>GRUPO COMBER   ·   SETEMBRO 2026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</row>
    <row r="4" spans="2:16" ht="24" customHeight="1" x14ac:dyDescent="0.25">
      <c r="B4" s="193" t="s">
        <v>171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</row>
    <row r="5" spans="2:16" ht="2.4" customHeight="1" x14ac:dyDescent="0.25"/>
    <row r="6" spans="2:16" ht="28.2" customHeight="1" x14ac:dyDescent="0.25">
      <c r="B6" s="196" t="s">
        <v>213</v>
      </c>
      <c r="C6" s="197"/>
      <c r="D6" s="198"/>
      <c r="F6" s="230" t="str">
        <f>'Cronograma Fechamento'!$C$33&amp;"º DIA ÚTIL"</f>
        <v>1º DIA ÚTIL</v>
      </c>
      <c r="G6" s="231"/>
      <c r="H6" s="232"/>
      <c r="J6" s="230" t="str">
        <f>'Cronograma Fechamento'!$C$34&amp;"º DIA ÚTIL"</f>
        <v>2º DIA ÚTIL</v>
      </c>
      <c r="K6" s="231"/>
      <c r="L6" s="232"/>
      <c r="N6" s="262" t="str">
        <f>'Cronograma Fechamento'!$C$35&amp;"º DIA ÚTIL"</f>
        <v>3º DIA ÚTIL</v>
      </c>
      <c r="O6" s="263"/>
      <c r="P6" s="264"/>
    </row>
    <row r="7" spans="2:16" ht="43.95" customHeight="1" x14ac:dyDescent="0.55000000000000004">
      <c r="B7" s="199">
        <v>46295</v>
      </c>
      <c r="C7" s="200"/>
      <c r="D7" s="201"/>
      <c r="F7" s="233" t="str">
        <f>TEXT(_xlfn.XLOOKUP('Consolidado- Comber'!$A$1&amp;"|"&amp;'Cronograma Fechamento'!$C$33,ListBox!$H:$H,ListBox!$A:$A,0,0),"dd/mmm")</f>
        <v>01/out</v>
      </c>
      <c r="G7" s="200"/>
      <c r="H7" s="234"/>
      <c r="J7" s="233" t="str">
        <f>TEXT(_xlfn.XLOOKUP('Consolidado- Comber'!$A$1&amp;"|"&amp;'Cronograma Fechamento'!$C$34,ListBox!$H:$H,ListBox!$A:$A,0,0),"dd/mmm")</f>
        <v>02/out</v>
      </c>
      <c r="K7" s="200"/>
      <c r="L7" s="234"/>
      <c r="N7" s="265" t="str">
        <f>TEXT(_xlfn.XLOOKUP('Consolidado- Comber'!$A$1&amp;"|"&amp;'Cronograma Fechamento'!$C$35,ListBox!$H:$H,ListBox!$A:$A,0,0),"dd/mmm")</f>
        <v>05/out</v>
      </c>
      <c r="O7" s="200"/>
      <c r="P7" s="266"/>
    </row>
    <row r="8" spans="2:16" ht="19.95" customHeight="1" x14ac:dyDescent="0.25">
      <c r="B8" s="202" t="s">
        <v>200</v>
      </c>
      <c r="C8" s="203"/>
      <c r="D8" s="204"/>
      <c r="F8" s="235" t="s">
        <v>219</v>
      </c>
      <c r="G8" s="203"/>
      <c r="H8" s="236"/>
      <c r="J8" s="235" t="s">
        <v>220</v>
      </c>
      <c r="K8" s="203"/>
      <c r="L8" s="236"/>
      <c r="N8" s="267" t="s">
        <v>201</v>
      </c>
      <c r="O8" s="203"/>
      <c r="P8" s="268"/>
    </row>
    <row r="9" spans="2:16" ht="19.95" customHeight="1" x14ac:dyDescent="0.25">
      <c r="B9" s="205" t="str">
        <f>'Cronograma Fechamento'!C8</f>
        <v>Compras</v>
      </c>
      <c r="C9" s="206"/>
      <c r="D9" s="207"/>
      <c r="F9" s="237" t="str">
        <f>'Cronograma Fechamento'!C12</f>
        <v>Validação Fiscal</v>
      </c>
      <c r="G9" s="206"/>
      <c r="H9" s="238"/>
      <c r="J9" s="237" t="str">
        <f>'Cronograma Fechamento'!C14</f>
        <v>Iniciar apuração de Tributos</v>
      </c>
      <c r="K9" s="206"/>
      <c r="L9" s="238"/>
      <c r="N9" s="269" t="str">
        <f>'Cronograma Fechamento'!C16</f>
        <v>Contas a Pagar</v>
      </c>
      <c r="O9" s="206"/>
      <c r="P9" s="270"/>
    </row>
    <row r="10" spans="2:16" ht="15" customHeight="1" x14ac:dyDescent="0.25">
      <c r="B10" s="208" t="str">
        <f>"›  "&amp;'Cronograma Fechamento'!D8</f>
        <v>›  Marcus · Leânia</v>
      </c>
      <c r="C10" s="203"/>
      <c r="D10" s="204"/>
      <c r="F10" s="239" t="str">
        <f>"›  "&amp;'Cronograma Fechamento'!D12</f>
        <v>›  Joyce · Mariana</v>
      </c>
      <c r="G10" s="203"/>
      <c r="H10" s="236"/>
      <c r="J10" s="239" t="str">
        <f>"›  "&amp;'Cronograma Fechamento'!D14</f>
        <v>›  Joyce · Mariana</v>
      </c>
      <c r="K10" s="203"/>
      <c r="L10" s="236"/>
      <c r="N10" s="271" t="str">
        <f>"›  "&amp;'Cronograma Fechamento'!D16</f>
        <v>›  Patrícia · Regicléssia · Jamile</v>
      </c>
      <c r="O10" s="203"/>
      <c r="P10" s="268"/>
    </row>
    <row r="11" spans="2:16" ht="19.95" customHeight="1" x14ac:dyDescent="0.25">
      <c r="B11" s="205" t="str">
        <f>'Cronograma Fechamento'!C9</f>
        <v>Vendas</v>
      </c>
      <c r="C11" s="206"/>
      <c r="D11" s="207"/>
      <c r="F11" s="240"/>
      <c r="G11" s="191"/>
      <c r="H11" s="241"/>
      <c r="J11" s="316"/>
      <c r="K11" s="191"/>
      <c r="L11" s="241"/>
      <c r="N11" s="269" t="str">
        <f>'Cronograma Fechamento'!C17</f>
        <v>Contas a Receber</v>
      </c>
      <c r="O11" s="206"/>
      <c r="P11" s="270"/>
    </row>
    <row r="12" spans="2:16" ht="15" customHeight="1" x14ac:dyDescent="0.25">
      <c r="B12" s="208" t="str">
        <f>"›  "&amp;'Cronograma Fechamento'!D9</f>
        <v>›  Marcus · Fabiana</v>
      </c>
      <c r="C12" s="209"/>
      <c r="D12" s="210"/>
      <c r="F12" s="242"/>
      <c r="G12" s="191"/>
      <c r="H12" s="241"/>
      <c r="J12" s="242"/>
      <c r="K12" s="191"/>
      <c r="L12" s="241"/>
      <c r="N12" s="271" t="str">
        <f>"›  "&amp;'Cronograma Fechamento'!D17</f>
        <v>›  Patrícia · Luciene · Jamile</v>
      </c>
      <c r="O12" s="203"/>
      <c r="P12" s="268"/>
    </row>
    <row r="13" spans="2:16" ht="19.95" customHeight="1" x14ac:dyDescent="0.25">
      <c r="B13" s="205" t="str">
        <f>'Cronograma Fechamento'!C10</f>
        <v>Estoque</v>
      </c>
      <c r="C13" s="206"/>
      <c r="D13" s="207"/>
      <c r="F13" s="240"/>
      <c r="G13" s="191"/>
      <c r="H13" s="241"/>
      <c r="J13" s="240"/>
      <c r="K13" s="191"/>
      <c r="L13" s="241"/>
      <c r="N13" s="269" t="str">
        <f>'Cronograma Fechamento'!C18</f>
        <v>Tesouraria</v>
      </c>
      <c r="O13" s="206"/>
      <c r="P13" s="270"/>
    </row>
    <row r="14" spans="2:16" ht="15" customHeight="1" x14ac:dyDescent="0.25">
      <c r="B14" s="208" t="str">
        <f>"›  "&amp;'Cronograma Fechamento'!D10</f>
        <v>›  Marcus · Simone</v>
      </c>
      <c r="C14" s="209"/>
      <c r="D14" s="210"/>
      <c r="F14" s="242"/>
      <c r="G14" s="191"/>
      <c r="H14" s="241"/>
      <c r="J14" s="242"/>
      <c r="K14" s="191"/>
      <c r="L14" s="241"/>
      <c r="N14" s="271" t="str">
        <f>"›  "&amp;'Cronograma Fechamento'!D18</f>
        <v>›  Patrícia · Regicléssia · Jamile</v>
      </c>
      <c r="O14" s="203"/>
      <c r="P14" s="268"/>
    </row>
    <row r="15" spans="2:16" ht="19.95" customHeight="1" x14ac:dyDescent="0.25">
      <c r="B15" s="205" t="str">
        <f>'Cronograma Fechamento'!C11</f>
        <v>Escrita Fiscal</v>
      </c>
      <c r="C15" s="206"/>
      <c r="D15" s="207"/>
      <c r="F15" s="240"/>
      <c r="G15" s="191"/>
      <c r="H15" s="241"/>
      <c r="J15" s="240"/>
      <c r="K15" s="191"/>
      <c r="L15" s="241"/>
      <c r="N15" s="269" t="str">
        <f>'Cronograma Fechamento'!C19</f>
        <v>Patrimônio (movimentação)</v>
      </c>
      <c r="O15" s="206"/>
      <c r="P15" s="270"/>
    </row>
    <row r="16" spans="2:16" ht="15" customHeight="1" x14ac:dyDescent="0.25">
      <c r="B16" s="208" t="str">
        <f>"›  "&amp;'Cronograma Fechamento'!D11</f>
        <v>›  Kaio · Erica</v>
      </c>
      <c r="C16" s="209"/>
      <c r="D16" s="210"/>
      <c r="F16" s="242"/>
      <c r="G16" s="191"/>
      <c r="H16" s="241"/>
      <c r="J16" s="242"/>
      <c r="K16" s="191"/>
      <c r="L16" s="241"/>
      <c r="N16" s="271" t="str">
        <f>"›  "&amp;'Cronograma Fechamento'!D19</f>
        <v>›  Gabriely · Jamile</v>
      </c>
      <c r="O16" s="203"/>
      <c r="P16" s="268"/>
    </row>
    <row r="17" spans="2:16" ht="25.95" customHeight="1" x14ac:dyDescent="0.25">
      <c r="B17" s="211" t="str">
        <f>"até "&amp;TEXT('Cronograma Fechamento'!$G$7,"hh:mm")</f>
        <v>até 18:00</v>
      </c>
      <c r="C17" s="212"/>
      <c r="D17" s="213"/>
      <c r="F17" s="243" t="str">
        <f>"até "&amp;TEXT('Cronograma Fechamento'!$G$7,"hh:mm")</f>
        <v>até 18:00</v>
      </c>
      <c r="G17" s="244"/>
      <c r="H17" s="245"/>
      <c r="J17" s="243" t="str">
        <f>"até "&amp;TEXT('Cronograma Fechamento'!$G$13,"hh:mm")</f>
        <v>até 18:00</v>
      </c>
      <c r="K17" s="244"/>
      <c r="L17" s="245"/>
      <c r="N17" s="272" t="str">
        <f>"até "&amp;TEXT('Cronograma Fechamento'!$G$15,"hh:mm")</f>
        <v>até 18:00</v>
      </c>
      <c r="O17" s="273"/>
      <c r="P17" s="274"/>
    </row>
    <row r="18" spans="2:16" ht="6.6" customHeight="1" x14ac:dyDescent="0.25"/>
    <row r="19" spans="2:16" ht="28.2" customHeight="1" x14ac:dyDescent="0.25">
      <c r="B19" s="214" t="str">
        <f>'Cronograma Fechamento'!$C$36&amp;"º DIA ÚTIL"</f>
        <v>4º DIA ÚTIL</v>
      </c>
      <c r="C19" s="215"/>
      <c r="D19" s="216"/>
      <c r="F19" s="230" t="str">
        <f>'Cronograma Fechamento'!$C$37&amp;"º DIA ÚTIL"</f>
        <v>7º DIA ÚTIL</v>
      </c>
      <c r="G19" s="231"/>
      <c r="H19" s="232"/>
      <c r="J19" s="246" t="str">
        <f>'Cronograma Fechamento'!$C$38&amp;"º DIA ÚTIL"</f>
        <v>9º DIA ÚTIL</v>
      </c>
      <c r="K19" s="247"/>
      <c r="L19" s="248"/>
      <c r="N19" s="275" t="str">
        <f>'Cronograma Fechamento'!$C$39&amp;"º DIA ÚTIL"</f>
        <v>15º DIA ÚTIL</v>
      </c>
      <c r="O19" s="276"/>
      <c r="P19" s="277"/>
    </row>
    <row r="20" spans="2:16" ht="43.95" customHeight="1" x14ac:dyDescent="0.55000000000000004">
      <c r="B20" s="217" t="str">
        <f>TEXT(_xlfn.XLOOKUP('Consolidado- Comber'!$A$1&amp;"|"&amp;'Cronograma Fechamento'!$C$36,ListBox!$H:$H,ListBox!$A:$A,0,0),"dd/mmm")</f>
        <v>06/out</v>
      </c>
      <c r="C20" s="200"/>
      <c r="D20" s="218"/>
      <c r="F20" s="233" t="str">
        <f>TEXT(_xlfn.XLOOKUP('Consolidado- Comber'!$A$1&amp;"|"&amp;'Cronograma Fechamento'!$C$37,ListBox!$H:$H,ListBox!$A:$A,0,0),"dd/mmm")</f>
        <v>09/out</v>
      </c>
      <c r="G20" s="200"/>
      <c r="H20" s="234"/>
      <c r="J20" s="249" t="str">
        <f>TEXT(_xlfn.XLOOKUP('Consolidado- Comber'!$A$1&amp;"|"&amp;'Cronograma Fechamento'!$C$38,ListBox!$H:$H,ListBox!$A:$A,0,0),"dd/mmm")</f>
        <v>14/out</v>
      </c>
      <c r="K20" s="200"/>
      <c r="L20" s="250"/>
      <c r="N20" s="278" t="str">
        <f>TEXT(_xlfn.XLOOKUP('Consolidado- Comber'!$A$1&amp;"|"&amp;'Cronograma Fechamento'!$C$39,ListBox!$H:$H,ListBox!$A:$A,0,0),"dd/mmm")</f>
        <v>22/out</v>
      </c>
      <c r="O20" s="200"/>
      <c r="P20" s="279"/>
    </row>
    <row r="21" spans="2:16" ht="19.95" customHeight="1" x14ac:dyDescent="0.25">
      <c r="B21" s="219" t="s">
        <v>203</v>
      </c>
      <c r="C21" s="203"/>
      <c r="D21" s="220"/>
      <c r="F21" s="235" t="s">
        <v>202</v>
      </c>
      <c r="G21" s="203"/>
      <c r="H21" s="236"/>
      <c r="J21" s="251" t="s">
        <v>204</v>
      </c>
      <c r="K21" s="203"/>
      <c r="L21" s="252"/>
      <c r="N21" s="280" t="s">
        <v>205</v>
      </c>
      <c r="O21" s="203"/>
      <c r="P21" s="281"/>
    </row>
    <row r="22" spans="2:16" ht="19.95" customHeight="1" x14ac:dyDescent="0.25">
      <c r="B22" s="221" t="str">
        <f>'Cronograma Fechamento'!C21</f>
        <v>Folha de Pagamento</v>
      </c>
      <c r="C22" s="206"/>
      <c r="D22" s="222"/>
      <c r="F22" s="237" t="str">
        <f>'Cronograma Fechamento'!C23</f>
        <v>Tributos</v>
      </c>
      <c r="G22" s="206"/>
      <c r="H22" s="238"/>
      <c r="J22" s="253" t="str">
        <f>'Cronograma Fechamento'!C25</f>
        <v>Contábil / Integração</v>
      </c>
      <c r="K22" s="206"/>
      <c r="L22" s="254"/>
      <c r="N22" s="282" t="str">
        <f>'Cronograma Fechamento'!C27</f>
        <v>Balancete Fechado</v>
      </c>
      <c r="O22" s="206"/>
      <c r="P22" s="283"/>
    </row>
    <row r="23" spans="2:16" ht="15" customHeight="1" x14ac:dyDescent="0.25">
      <c r="B23" s="223" t="str">
        <f>"›  "&amp;'Cronograma Fechamento'!D21</f>
        <v>›  Danilo · Elizete</v>
      </c>
      <c r="C23" s="203"/>
      <c r="D23" s="220"/>
      <c r="F23" s="239" t="str">
        <f>"›  "&amp;'Cronograma Fechamento'!D23</f>
        <v>›  Joyce · Mariana</v>
      </c>
      <c r="G23" s="203"/>
      <c r="H23" s="236"/>
      <c r="J23" s="255" t="str">
        <f>"›  "&amp;'Cronograma Fechamento'!D25</f>
        <v>›  Joyce · Equipe Contábil</v>
      </c>
      <c r="K23" s="203"/>
      <c r="L23" s="252"/>
      <c r="N23" s="284" t="str">
        <f>"›  "&amp;'Cronograma Fechamento'!D27</f>
        <v>›  Joyce · Equipe Contábil</v>
      </c>
      <c r="O23" s="203"/>
      <c r="P23" s="281"/>
    </row>
    <row r="24" spans="2:16" ht="6" customHeight="1" x14ac:dyDescent="0.25">
      <c r="B24" s="224"/>
      <c r="C24" s="191"/>
      <c r="D24" s="225"/>
      <c r="F24" s="240"/>
      <c r="G24" s="191"/>
      <c r="H24" s="241"/>
      <c r="J24" s="256"/>
      <c r="K24" s="191"/>
      <c r="L24" s="257"/>
      <c r="N24" s="285"/>
      <c r="O24" s="191"/>
      <c r="P24" s="286"/>
    </row>
    <row r="25" spans="2:16" ht="6" customHeight="1" x14ac:dyDescent="0.25">
      <c r="B25" s="226"/>
      <c r="C25" s="191"/>
      <c r="D25" s="225"/>
      <c r="F25" s="242"/>
      <c r="G25" s="191"/>
      <c r="H25" s="241"/>
      <c r="J25" s="258"/>
      <c r="K25" s="191"/>
      <c r="L25" s="257"/>
      <c r="N25" s="287"/>
      <c r="O25" s="191"/>
      <c r="P25" s="286"/>
    </row>
    <row r="26" spans="2:16" ht="6" customHeight="1" x14ac:dyDescent="0.25">
      <c r="B26" s="224"/>
      <c r="C26" s="191"/>
      <c r="D26" s="225"/>
      <c r="F26" s="240"/>
      <c r="G26" s="191"/>
      <c r="H26" s="241"/>
      <c r="J26" s="256"/>
      <c r="K26" s="191"/>
      <c r="L26" s="257"/>
      <c r="N26" s="285"/>
      <c r="O26" s="191"/>
      <c r="P26" s="286"/>
    </row>
    <row r="27" spans="2:16" ht="25.95" customHeight="1" x14ac:dyDescent="0.25">
      <c r="B27" s="227" t="str">
        <f>"até "&amp;TEXT('Cronograma Fechamento'!$G$20,"hh:mm")</f>
        <v>até 18:00</v>
      </c>
      <c r="C27" s="228"/>
      <c r="D27" s="229"/>
      <c r="F27" s="243" t="str">
        <f>"até "&amp;TEXT('Cronograma Fechamento'!$G$22,"hh:mm")</f>
        <v>até 18:00</v>
      </c>
      <c r="G27" s="244"/>
      <c r="H27" s="245"/>
      <c r="J27" s="259" t="str">
        <f>"até "&amp;TEXT('Cronograma Fechamento'!$G$24,"hh:mm")</f>
        <v>até 18:00</v>
      </c>
      <c r="K27" s="260"/>
      <c r="L27" s="261"/>
      <c r="N27" s="288" t="str">
        <f>"até "&amp;TEXT('Cronograma Fechamento'!$G$26,"hh:mm")</f>
        <v>até 18:00</v>
      </c>
      <c r="O27" s="289"/>
      <c r="P27" s="290"/>
    </row>
    <row r="28" spans="2:16" ht="4.2" customHeight="1" x14ac:dyDescent="0.25"/>
    <row r="29" spans="2:16" ht="30" customHeight="1" x14ac:dyDescent="0.25">
      <c r="B29" s="194" t="str">
        <f>"Horário limite de entrega: "&amp;TEXT('Cronograma Fechamento'!$G$7,"hh:mm")&amp;"   ·   "&amp;_xlfn.TEXTAFTER('Consolidado- Comber'!$B$5,"- ")</f>
        <v>Horário limite de entrega: 18:00   ·   SETEMBRO 2026</v>
      </c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</row>
    <row r="30" spans="2:16" ht="19.95" customHeight="1" x14ac:dyDescent="0.25">
      <c r="B30" s="195" t="s">
        <v>206</v>
      </c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</row>
  </sheetData>
  <mergeCells count="89">
    <mergeCell ref="N27:P27"/>
    <mergeCell ref="N22:P22"/>
    <mergeCell ref="N23:P23"/>
    <mergeCell ref="N24:P24"/>
    <mergeCell ref="N25:P25"/>
    <mergeCell ref="N26:P26"/>
    <mergeCell ref="J27:L27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9:P19"/>
    <mergeCell ref="N20:P20"/>
    <mergeCell ref="N21:P21"/>
    <mergeCell ref="J22:L22"/>
    <mergeCell ref="J23:L23"/>
    <mergeCell ref="J24:L24"/>
    <mergeCell ref="J25:L25"/>
    <mergeCell ref="J26:L26"/>
    <mergeCell ref="F27:H27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19:L19"/>
    <mergeCell ref="J20:L20"/>
    <mergeCell ref="J21:L21"/>
    <mergeCell ref="F22:H22"/>
    <mergeCell ref="F23:H23"/>
    <mergeCell ref="F24:H24"/>
    <mergeCell ref="F25:H25"/>
    <mergeCell ref="F26:H26"/>
    <mergeCell ref="F16:H16"/>
    <mergeCell ref="F17:H17"/>
    <mergeCell ref="F19:H19"/>
    <mergeCell ref="F20:H20"/>
    <mergeCell ref="F21:H21"/>
    <mergeCell ref="F11:H11"/>
    <mergeCell ref="F12:H12"/>
    <mergeCell ref="F13:H13"/>
    <mergeCell ref="F14:H14"/>
    <mergeCell ref="F15:H15"/>
    <mergeCell ref="F6:H6"/>
    <mergeCell ref="F7:H7"/>
    <mergeCell ref="F8:H8"/>
    <mergeCell ref="F9:H9"/>
    <mergeCell ref="F10:H10"/>
    <mergeCell ref="B23:D23"/>
    <mergeCell ref="B24:D24"/>
    <mergeCell ref="B25:D25"/>
    <mergeCell ref="B26:D26"/>
    <mergeCell ref="B27:D27"/>
    <mergeCell ref="B17:D17"/>
    <mergeCell ref="B19:D19"/>
    <mergeCell ref="B20:D20"/>
    <mergeCell ref="B21:D21"/>
    <mergeCell ref="B22:D22"/>
    <mergeCell ref="B2:P2"/>
    <mergeCell ref="B3:P3"/>
    <mergeCell ref="B4:P4"/>
    <mergeCell ref="B29:P29"/>
    <mergeCell ref="B30:P30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pageMargins left="0.511811024" right="0.511811024" top="0.78740157499999996" bottom="0.78740157499999996" header="0.31496062000000002" footer="0.31496062000000002"/>
  <pageSetup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0B3B-FC3B-4892-84D7-385D969FA45C}">
  <dimension ref="C3:S10"/>
  <sheetViews>
    <sheetView workbookViewId="0">
      <selection activeCell="M10" sqref="M10"/>
    </sheetView>
  </sheetViews>
  <sheetFormatPr defaultRowHeight="13.2" x14ac:dyDescent="0.25"/>
  <cols>
    <col min="1" max="2" width="8.88671875" style="318"/>
    <col min="3" max="3" width="12.109375" style="318" bestFit="1" customWidth="1"/>
    <col min="4" max="4" width="15.44140625" style="318" bestFit="1" customWidth="1"/>
    <col min="5" max="5" width="8.88671875" style="318"/>
    <col min="6" max="6" width="21.33203125" style="319" customWidth="1"/>
    <col min="7" max="7" width="17.44140625" style="319" customWidth="1"/>
    <col min="8" max="8" width="8.88671875" style="319"/>
    <col min="9" max="9" width="18.33203125" style="319" customWidth="1"/>
    <col min="10" max="10" width="14.44140625" style="319" bestFit="1" customWidth="1"/>
    <col min="11" max="13" width="14.44140625" style="319" customWidth="1"/>
    <col min="14" max="14" width="8.88671875" style="318"/>
    <col min="15" max="15" width="17.5546875" style="318" customWidth="1"/>
    <col min="16" max="16384" width="8.88671875" style="318"/>
  </cols>
  <sheetData>
    <row r="3" spans="3:19" x14ac:dyDescent="0.25">
      <c r="O3" s="320" t="s">
        <v>234</v>
      </c>
    </row>
    <row r="4" spans="3:19" x14ac:dyDescent="0.25">
      <c r="C4" s="317">
        <v>46295</v>
      </c>
      <c r="D4" s="317"/>
      <c r="F4" s="317">
        <f>C4+1</f>
        <v>46296</v>
      </c>
      <c r="G4" s="317"/>
      <c r="I4" s="317">
        <f>F4+1</f>
        <v>46297</v>
      </c>
      <c r="J4" s="317"/>
      <c r="K4" s="322"/>
      <c r="L4" s="317">
        <f>I4+4</f>
        <v>46301</v>
      </c>
      <c r="M4" s="317"/>
      <c r="O4" s="317">
        <f>I4+7</f>
        <v>46304</v>
      </c>
      <c r="P4" s="317"/>
      <c r="R4" s="317">
        <f>I4+13</f>
        <v>46310</v>
      </c>
      <c r="S4" s="317"/>
    </row>
    <row r="5" spans="3:19" ht="92.4" x14ac:dyDescent="0.25">
      <c r="C5" s="320" t="s">
        <v>46</v>
      </c>
      <c r="D5" s="320" t="s">
        <v>223</v>
      </c>
      <c r="F5" s="321" t="s">
        <v>232</v>
      </c>
      <c r="G5" s="321" t="s">
        <v>227</v>
      </c>
      <c r="I5" s="321" t="s">
        <v>229</v>
      </c>
      <c r="J5" s="321" t="s">
        <v>227</v>
      </c>
      <c r="K5" s="321"/>
      <c r="L5" s="321" t="s">
        <v>203</v>
      </c>
      <c r="M5" s="321" t="s">
        <v>236</v>
      </c>
      <c r="O5" s="321" t="s">
        <v>233</v>
      </c>
      <c r="P5" s="321" t="s">
        <v>227</v>
      </c>
      <c r="R5" s="320" t="s">
        <v>235</v>
      </c>
    </row>
    <row r="6" spans="3:19" ht="26.4" x14ac:dyDescent="0.25">
      <c r="C6" s="320" t="s">
        <v>50</v>
      </c>
      <c r="D6" s="320" t="s">
        <v>224</v>
      </c>
      <c r="F6" s="321" t="s">
        <v>231</v>
      </c>
      <c r="G6" s="321" t="s">
        <v>228</v>
      </c>
      <c r="I6" s="321" t="s">
        <v>230</v>
      </c>
      <c r="J6" s="321" t="s">
        <v>108</v>
      </c>
      <c r="O6" s="321"/>
      <c r="P6" s="319"/>
    </row>
    <row r="7" spans="3:19" ht="26.4" x14ac:dyDescent="0.25">
      <c r="C7" s="320" t="s">
        <v>53</v>
      </c>
      <c r="D7" s="320" t="s">
        <v>225</v>
      </c>
      <c r="I7" s="321" t="s">
        <v>98</v>
      </c>
      <c r="J7" s="321" t="s">
        <v>237</v>
      </c>
    </row>
    <row r="8" spans="3:19" ht="26.4" x14ac:dyDescent="0.25">
      <c r="C8" s="320" t="s">
        <v>214</v>
      </c>
      <c r="D8" s="320" t="s">
        <v>226</v>
      </c>
      <c r="I8" s="321" t="s">
        <v>56</v>
      </c>
      <c r="J8" s="321" t="s">
        <v>238</v>
      </c>
    </row>
    <row r="9" spans="3:19" ht="26.4" x14ac:dyDescent="0.25">
      <c r="I9" s="321" t="s">
        <v>57</v>
      </c>
      <c r="J9" s="321" t="s">
        <v>237</v>
      </c>
    </row>
    <row r="10" spans="3:19" x14ac:dyDescent="0.25">
      <c r="I10" s="321" t="s">
        <v>185</v>
      </c>
      <c r="J10" s="321" t="s">
        <v>239</v>
      </c>
    </row>
  </sheetData>
  <mergeCells count="6">
    <mergeCell ref="C4:D4"/>
    <mergeCell ref="F4:G4"/>
    <mergeCell ref="I4:J4"/>
    <mergeCell ref="O4:P4"/>
    <mergeCell ref="R4:S4"/>
    <mergeCell ref="L4:M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9CAC-ED14-428C-A16D-1869315F902B}">
  <sheetPr>
    <tabColor rgb="FF1F497D"/>
  </sheetPr>
  <dimension ref="B2:D15"/>
  <sheetViews>
    <sheetView showGridLines="0" zoomScale="85" zoomScaleNormal="85" workbookViewId="0">
      <selection activeCell="K11" sqref="K11"/>
    </sheetView>
  </sheetViews>
  <sheetFormatPr defaultRowHeight="13.2" x14ac:dyDescent="0.25"/>
  <cols>
    <col min="1" max="1" width="2.5546875" customWidth="1"/>
    <col min="2" max="2" width="14.6640625" customWidth="1"/>
    <col min="3" max="3" width="13.88671875" customWidth="1"/>
    <col min="4" max="4" width="103.6640625" customWidth="1"/>
    <col min="5" max="5" width="2.5546875" customWidth="1"/>
  </cols>
  <sheetData>
    <row r="2" spans="2:4" ht="30" customHeight="1" x14ac:dyDescent="0.25">
      <c r="B2" s="313" t="str">
        <f>"Assunto:  Cronograma de Fechamento – "&amp;PROPER(_xlfn.TEXTAFTER('Consolidado- Comber'!$B$5,"- "))&amp;"  |  Grupo Comber"</f>
        <v>Assunto:  Cronograma de Fechamento – Setembro 2026  |  Grupo Comber</v>
      </c>
      <c r="C2" s="191"/>
      <c r="D2" s="191"/>
    </row>
    <row r="3" spans="2:4" ht="7.95" customHeight="1" thickBot="1" x14ac:dyDescent="0.3">
      <c r="B3" s="314"/>
      <c r="C3" s="191"/>
      <c r="D3" s="191"/>
    </row>
    <row r="5" spans="2:4" ht="14.4" x14ac:dyDescent="0.3">
      <c r="B5" s="157" t="s">
        <v>207</v>
      </c>
      <c r="C5" s="157"/>
      <c r="D5" s="157"/>
    </row>
    <row r="6" spans="2:4" ht="34.200000000000003" customHeight="1" x14ac:dyDescent="0.3">
      <c r="B6" s="315" t="str">
        <f>"Segue o cronograma de fechamento referente a "&amp;PROPER(_xlfn.TEXTAFTER('Consolidado- Comber'!$B$5,"- "))&amp;". Pedimos atenção especial aos prazos, pois o cumprimento de cada etapa é pré-requisito para a seguinte."</f>
        <v>Segue o cronograma de fechamento referente a Setembro 2026. Pedimos atenção especial aos prazos, pois o cumprimento de cada etapa é pré-requisito para a seguinte.</v>
      </c>
      <c r="C6" s="311"/>
      <c r="D6" s="311"/>
    </row>
    <row r="7" spans="2:4" ht="14.4" x14ac:dyDescent="0.3">
      <c r="B7" s="157"/>
      <c r="C7" s="157"/>
      <c r="D7" s="157"/>
    </row>
    <row r="8" spans="2:4" ht="14.4" x14ac:dyDescent="0.3">
      <c r="B8" s="157"/>
      <c r="C8" s="157"/>
      <c r="D8" s="157"/>
    </row>
    <row r="9" spans="2:4" ht="34.200000000000003" customHeight="1" x14ac:dyDescent="0.3">
      <c r="B9" s="315" t="s">
        <v>208</v>
      </c>
      <c r="C9" s="311"/>
      <c r="D9" s="311"/>
    </row>
    <row r="10" spans="2:4" ht="34.200000000000003" customHeight="1" x14ac:dyDescent="0.3">
      <c r="B10" s="315" t="s">
        <v>209</v>
      </c>
      <c r="C10" s="311"/>
      <c r="D10" s="311"/>
    </row>
    <row r="11" spans="2:4" ht="14.4" x14ac:dyDescent="0.3">
      <c r="B11" s="157"/>
      <c r="C11" s="157"/>
      <c r="D11" s="157"/>
    </row>
    <row r="12" spans="2:4" ht="14.4" x14ac:dyDescent="0.3">
      <c r="B12" s="157" t="s">
        <v>210</v>
      </c>
      <c r="C12" s="157"/>
      <c r="D12" s="157"/>
    </row>
    <row r="13" spans="2:4" ht="14.4" x14ac:dyDescent="0.3">
      <c r="B13" s="310" t="s">
        <v>211</v>
      </c>
      <c r="C13" s="311"/>
      <c r="D13" s="311"/>
    </row>
    <row r="15" spans="2:4" ht="30" customHeight="1" x14ac:dyDescent="0.25">
      <c r="B15" s="312" t="s">
        <v>221</v>
      </c>
      <c r="C15" s="191"/>
      <c r="D15" s="191"/>
    </row>
  </sheetData>
  <mergeCells count="7">
    <mergeCell ref="B13:D13"/>
    <mergeCell ref="B15:D15"/>
    <mergeCell ref="B2:D2"/>
    <mergeCell ref="B3:D3"/>
    <mergeCell ref="B6:D6"/>
    <mergeCell ref="B9:D9"/>
    <mergeCell ref="B10:D10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B2:Q34"/>
  <sheetViews>
    <sheetView showGridLines="0" tabSelected="1" zoomScale="90" zoomScaleNormal="9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RowHeight="13.2"/>
  <cols>
    <col min="1" max="1" width="2.5" customWidth="1"/>
    <col min="2" max="2" width="44" customWidth="1"/>
    <col min="3" max="3" width="34" customWidth="1"/>
    <col min="4" max="17" width="9" customWidth="1"/>
    <col min="18" max="18" width="2.5" customWidth="1"/>
  </cols>
  <sheetData>
    <row r="1"/>
    <row r="2" ht="34" customHeight="1">
      <c r="B2" s="323" t="str">
        <f>"FLUXO DO FECHAMENTO NO TEMPO   ·   "&amp;_xlfn.TEXTAFTER('Consolidado- Comber'!$B$5,"- ")</f>
        <v>FLUXO DO FECHAMENTO NO TEMPO   ·   SETEMBRO 2026</v>
      </c>
    </row>
    <row r="3" ht="18" customHeight="1">
      <c r="B3" s="324" t="inlineStr">
        <is>
          <t xml:space="preserve">Linha do tempo por dia útil: cada barra mostra quando a atividade acontece; ◆ marca a entrega (até 18:00). Datas calculadas pelo calendário da aba ListBox.</t>
        </is>
      </c>
    </row>
    <row r="4" ht="8" customHeight="1"/>
    <row r="5" ht="22" customHeight="1">
      <c r="B5" s="326" t="inlineStr">
        <is>
          <t xml:space="preserve">ATIVIDADE</t>
        </is>
      </c>
      <c r="C5" s="327" t="inlineStr">
        <is>
          <t xml:space="preserve">RESPONSÁVEL</t>
        </is>
      </c>
      <c r="D5" s="325" t="inlineStr">
        <is>
          <t xml:space="preserve">Últ. dia</t>
        </is>
      </c>
      <c r="E5" s="325" t="inlineStr">
        <is>
          <t xml:space="preserve">1º d.u.</t>
        </is>
      </c>
      <c r="F5" s="325" t="inlineStr">
        <is>
          <t xml:space="preserve">2º d.u.</t>
        </is>
      </c>
      <c r="G5" s="325" t="inlineStr">
        <is>
          <t xml:space="preserve">3º d.u.</t>
        </is>
      </c>
      <c r="H5" s="325" t="inlineStr">
        <is>
          <t xml:space="preserve">4º d.u.</t>
        </is>
      </c>
      <c r="I5" s="325" t="inlineStr">
        <is>
          <t xml:space="preserve">5º d.u.</t>
        </is>
      </c>
      <c r="J5" s="325" t="inlineStr">
        <is>
          <t xml:space="preserve">6º d.u.</t>
        </is>
      </c>
      <c r="K5" s="325" t="inlineStr">
        <is>
          <t xml:space="preserve">7º d.u.</t>
        </is>
      </c>
      <c r="L5" s="325" t="inlineStr">
        <is>
          <t xml:space="preserve">8º d.u.</t>
        </is>
      </c>
      <c r="M5" s="325" t="inlineStr">
        <is>
          <t xml:space="preserve">9º d.u.</t>
        </is>
      </c>
      <c r="N5" s="325" t="inlineStr">
        <is>
          <t xml:space="preserve">10º d.u.</t>
        </is>
      </c>
      <c r="O5" s="325" t="inlineStr">
        <is>
          <t xml:space="preserve">11º d.u.</t>
        </is>
      </c>
      <c r="P5" s="325" t="inlineStr">
        <is>
          <t xml:space="preserve">12º d.u.</t>
        </is>
      </c>
      <c r="Q5" s="325" t="inlineStr">
        <is>
          <t xml:space="preserve">13º d.u.</t>
        </is>
      </c>
    </row>
    <row r="6" ht="20" customHeight="1">
      <c r="B6" s="328" t="inlineStr">
        <is>
          <t xml:space="preserve">Data</t>
        </is>
      </c>
      <c r="C6" s="329"/>
      <c r="D6" s="332">
        <f>WORKDAY(_xlfn.XLOOKUP('Consolidado- Comber'!$A$1&amp;"|"&amp;1,ListBox!$H:$H,ListBox!$A:$A,0,0),-1)</f>
        <v>46295</v>
      </c>
      <c r="E6" s="332">
        <f>_xlfn.XLOOKUP('Consolidado- Comber'!$A$1&amp;"|"&amp;1,ListBox!$H:$H,ListBox!$A:$A,0,0)</f>
        <v>46296</v>
      </c>
      <c r="F6" s="332">
        <f>_xlfn.XLOOKUP('Consolidado- Comber'!$A$1&amp;"|"&amp;2,ListBox!$H:$H,ListBox!$A:$A,0,0)</f>
        <v>46297</v>
      </c>
      <c r="G6" s="332">
        <f>_xlfn.XLOOKUP('Consolidado- Comber'!$A$1&amp;"|"&amp;3,ListBox!$H:$H,ListBox!$A:$A,0,0)</f>
        <v>46300</v>
      </c>
      <c r="H6" s="332">
        <f>_xlfn.XLOOKUP('Consolidado- Comber'!$A$1&amp;"|"&amp;4,ListBox!$H:$H,ListBox!$A:$A,0,0)</f>
        <v>46301</v>
      </c>
      <c r="I6" s="332">
        <f>_xlfn.XLOOKUP('Consolidado- Comber'!$A$1&amp;"|"&amp;5,ListBox!$H:$H,ListBox!$A:$A,0,0)</f>
        <v>46302</v>
      </c>
      <c r="J6" s="332">
        <f>_xlfn.XLOOKUP('Consolidado- Comber'!$A$1&amp;"|"&amp;6,ListBox!$H:$H,ListBox!$A:$A,0,0)</f>
        <v>46303</v>
      </c>
      <c r="K6" s="332">
        <f>_xlfn.XLOOKUP('Consolidado- Comber'!$A$1&amp;"|"&amp;7,ListBox!$H:$H,ListBox!$A:$A,0,0)</f>
        <v>46304</v>
      </c>
      <c r="L6" s="332">
        <f>_xlfn.XLOOKUP('Consolidado- Comber'!$A$1&amp;"|"&amp;8,ListBox!$H:$H,ListBox!$A:$A,0,0)</f>
        <v>46308</v>
      </c>
      <c r="M6" s="332">
        <f>_xlfn.XLOOKUP('Consolidado- Comber'!$A$1&amp;"|"&amp;9,ListBox!$H:$H,ListBox!$A:$A,0,0)</f>
        <v>46309</v>
      </c>
      <c r="N6" s="332">
        <f>_xlfn.XLOOKUP('Consolidado- Comber'!$A$1&amp;"|"&amp;10,ListBox!$H:$H,ListBox!$A:$A,0,0)</f>
        <v>46310</v>
      </c>
      <c r="O6" s="332">
        <f>_xlfn.XLOOKUP('Consolidado- Comber'!$A$1&amp;"|"&amp;11,ListBox!$H:$H,ListBox!$A:$A,0,0)</f>
        <v>46311</v>
      </c>
      <c r="P6" s="332">
        <f>_xlfn.XLOOKUP('Consolidado- Comber'!$A$1&amp;"|"&amp;12,ListBox!$H:$H,ListBox!$A:$A,0,0)</f>
        <v>46314</v>
      </c>
      <c r="Q6" s="332">
        <f>_xlfn.XLOOKUP('Consolidado- Comber'!$A$1&amp;"|"&amp;13,ListBox!$H:$H,ListBox!$A:$A,0,0)</f>
        <v>46315</v>
      </c>
    </row>
    <row r="7" ht="18" customHeight="1">
      <c r="B7" s="330" t="inlineStr">
        <is>
          <t xml:space="preserve">Dia da semana</t>
        </is>
      </c>
      <c r="C7" s="331"/>
      <c r="D7" s="333" t="str">
        <f>LOWER(TEXT(D6,"ddd"))</f>
        <v>qua</v>
      </c>
      <c r="E7" s="333" t="str">
        <f>LOWER(TEXT(E6,"ddd"))</f>
        <v>qui</v>
      </c>
      <c r="F7" s="333" t="str">
        <f>LOWER(TEXT(F6,"ddd"))</f>
        <v>sex</v>
      </c>
      <c r="G7" s="333" t="str">
        <f>LOWER(TEXT(G6,"ddd"))</f>
        <v>seg</v>
      </c>
      <c r="H7" s="333" t="str">
        <f>LOWER(TEXT(H6,"ddd"))</f>
        <v>ter</v>
      </c>
      <c r="I7" s="333" t="str">
        <f>LOWER(TEXT(I6,"ddd"))</f>
        <v>qua</v>
      </c>
      <c r="J7" s="333" t="str">
        <f>LOWER(TEXT(J6,"ddd"))</f>
        <v>qui</v>
      </c>
      <c r="K7" s="333" t="str">
        <f>LOWER(TEXT(K6,"ddd"))</f>
        <v>sex</v>
      </c>
      <c r="L7" s="333" t="str">
        <f>LOWER(TEXT(L6,"ddd"))</f>
        <v>ter</v>
      </c>
      <c r="M7" s="333" t="str">
        <f>LOWER(TEXT(M6,"ddd"))</f>
        <v>qua</v>
      </c>
      <c r="N7" s="333" t="str">
        <f>LOWER(TEXT(N6,"ddd"))</f>
        <v>qui</v>
      </c>
      <c r="O7" s="333" t="str">
        <f>LOWER(TEXT(O6,"ddd"))</f>
        <v>sex</v>
      </c>
      <c r="P7" s="333" t="str">
        <f>LOWER(TEXT(P6,"ddd"))</f>
        <v>seg</v>
      </c>
      <c r="Q7" s="333" t="str">
        <f>LOWER(TEXT(Q6,"ddd"))</f>
        <v>ter</v>
      </c>
    </row>
    <row r="8" ht="6" customHeight="1"/>
    <row r="9" ht="22" customHeight="1">
      <c r="B9" s="334" t="inlineStr">
        <is>
          <t xml:space="preserve">1 · Fechamento operacional</t>
        </is>
      </c>
      <c r="C9" s="335" t="inlineStr">
        <is>
          <t xml:space="preserve">Entrega das áreas operacionais no último dia do mês</t>
        </is>
      </c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</row>
    <row r="10" ht="22" customHeight="1">
      <c r="B10" s="337" t="inlineStr">
        <is>
          <t xml:space="preserve">Compras</t>
        </is>
      </c>
      <c r="C10" s="338" t="inlineStr">
        <is>
          <t xml:space="preserve">Marcus · Leânia</t>
        </is>
      </c>
      <c r="D10" s="339" t="inlineStr">
        <is>
          <t xml:space="preserve">◆</t>
        </is>
      </c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</row>
    <row r="11" ht="22" customHeight="1">
      <c r="B11" s="337" t="inlineStr">
        <is>
          <t xml:space="preserve">Vendas</t>
        </is>
      </c>
      <c r="C11" s="338" t="inlineStr">
        <is>
          <t xml:space="preserve">Marcus · Fabiana</t>
        </is>
      </c>
      <c r="D11" s="339" t="inlineStr">
        <is>
          <t xml:space="preserve">◆</t>
        </is>
      </c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</row>
    <row r="12" ht="22" customHeight="1">
      <c r="B12" s="337" t="inlineStr">
        <is>
          <t xml:space="preserve">Estoque</t>
        </is>
      </c>
      <c r="C12" s="338" t="inlineStr">
        <is>
          <t xml:space="preserve">Marcus · Simone</t>
        </is>
      </c>
      <c r="D12" s="339" t="inlineStr">
        <is>
          <t xml:space="preserve">◆</t>
        </is>
      </c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</row>
    <row r="13" ht="22" customHeight="1">
      <c r="B13" s="337" t="inlineStr">
        <is>
          <t xml:space="preserve">Escrita Fiscal</t>
        </is>
      </c>
      <c r="C13" s="338" t="inlineStr">
        <is>
          <t xml:space="preserve">Kaio · Erica</t>
        </is>
      </c>
      <c r="D13" s="339" t="inlineStr">
        <is>
          <t xml:space="preserve">◆</t>
        </is>
      </c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</row>
    <row r="14" ht="22" customHeight="1">
      <c r="B14" s="341" t="inlineStr">
        <is>
          <t xml:space="preserve">2 · Trava, validação fiscal e correções</t>
        </is>
      </c>
      <c r="C14" s="342" t="inlineStr">
        <is>
          <t xml:space="preserve">Sistema travado no 1º d.u.; o time Comber corrige do 1º ao 2º d.u.</t>
        </is>
      </c>
      <c r="D14" s="343"/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</row>
    <row r="15" ht="22" customHeight="1">
      <c r="B15" s="337" t="inlineStr">
        <is>
          <t xml:space="preserve">Trava do sistema e validação fiscal</t>
        </is>
      </c>
      <c r="C15" s="338" t="inlineStr">
        <is>
          <t xml:space="preserve">Joyce · Mariana</t>
        </is>
      </c>
      <c r="D15" s="340"/>
      <c r="E15" s="344" t="inlineStr">
        <is>
          <t xml:space="preserve">◆</t>
        </is>
      </c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</row>
    <row r="16" ht="22" customHeight="1">
      <c r="B16" s="337" t="inlineStr">
        <is>
          <t xml:space="preserve">Correções (time Comber)</t>
        </is>
      </c>
      <c r="C16" s="338" t="inlineStr">
        <is>
          <t xml:space="preserve">Compras · Vendas · Estoque · Escrita</t>
        </is>
      </c>
      <c r="D16" s="340"/>
      <c r="E16" s="345" t="inlineStr">
        <is>
          <t xml:space="preserve">início</t>
        </is>
      </c>
      <c r="F16" s="344" t="inlineStr">
        <is>
          <t xml:space="preserve">◆</t>
        </is>
      </c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</row>
    <row r="17" ht="22" customHeight="1">
      <c r="B17" s="346" t="inlineStr">
        <is>
          <t xml:space="preserve">3 · Financeiro e patrimônio</t>
        </is>
      </c>
      <c r="C17" s="347" t="inlineStr">
        <is>
          <t xml:space="preserve">Entregas no dia em que começam apurações e contabilidade (3º d.u.)</t>
        </is>
      </c>
      <c r="D17" s="348"/>
      <c r="E17" s="348"/>
      <c r="F17" s="348"/>
      <c r="G17" s="348"/>
      <c r="H17" s="348"/>
      <c r="I17" s="348"/>
      <c r="J17" s="348"/>
      <c r="K17" s="348"/>
      <c r="L17" s="348"/>
      <c r="M17" s="348"/>
      <c r="N17" s="348"/>
      <c r="O17" s="348"/>
      <c r="P17" s="348"/>
      <c r="Q17" s="348"/>
    </row>
    <row r="18" ht="22" customHeight="1">
      <c r="B18" s="337" t="inlineStr">
        <is>
          <t xml:space="preserve">Contas a Pagar</t>
        </is>
      </c>
      <c r="C18" s="338" t="inlineStr">
        <is>
          <t xml:space="preserve">Patrícia · Regicléssia</t>
        </is>
      </c>
      <c r="D18" s="340"/>
      <c r="E18" s="340"/>
      <c r="F18" s="340"/>
      <c r="G18" s="349" t="inlineStr">
        <is>
          <t xml:space="preserve">◆</t>
        </is>
      </c>
      <c r="H18" s="340"/>
      <c r="I18" s="340"/>
      <c r="J18" s="340"/>
      <c r="K18" s="340"/>
      <c r="L18" s="340"/>
      <c r="M18" s="340"/>
      <c r="N18" s="340"/>
      <c r="O18" s="340"/>
      <c r="P18" s="340"/>
      <c r="Q18" s="340"/>
    </row>
    <row r="19" ht="22" customHeight="1">
      <c r="B19" s="337" t="inlineStr">
        <is>
          <t xml:space="preserve">Contas a Receber</t>
        </is>
      </c>
      <c r="C19" s="338" t="inlineStr">
        <is>
          <t xml:space="preserve">Patrícia · Luciene</t>
        </is>
      </c>
      <c r="D19" s="340"/>
      <c r="E19" s="340"/>
      <c r="F19" s="340"/>
      <c r="G19" s="349" t="inlineStr">
        <is>
          <t xml:space="preserve">◆</t>
        </is>
      </c>
      <c r="H19" s="340"/>
      <c r="I19" s="340"/>
      <c r="J19" s="340"/>
      <c r="K19" s="340"/>
      <c r="L19" s="340"/>
      <c r="M19" s="340"/>
      <c r="N19" s="340"/>
      <c r="O19" s="340"/>
      <c r="P19" s="340"/>
      <c r="Q19" s="340"/>
    </row>
    <row r="20" ht="22" customHeight="1">
      <c r="B20" s="337" t="inlineStr">
        <is>
          <t xml:space="preserve">Tesouraria</t>
        </is>
      </c>
      <c r="C20" s="338" t="inlineStr">
        <is>
          <t xml:space="preserve">Patrícia · Regicléssia</t>
        </is>
      </c>
      <c r="D20" s="340"/>
      <c r="E20" s="340"/>
      <c r="F20" s="340"/>
      <c r="G20" s="349" t="inlineStr">
        <is>
          <t xml:space="preserve">◆</t>
        </is>
      </c>
      <c r="H20" s="340"/>
      <c r="I20" s="340"/>
      <c r="J20" s="340"/>
      <c r="K20" s="340"/>
      <c r="L20" s="340"/>
      <c r="M20" s="340"/>
      <c r="N20" s="340"/>
      <c r="O20" s="340"/>
      <c r="P20" s="340"/>
      <c r="Q20" s="340"/>
    </row>
    <row r="21" ht="22" customHeight="1">
      <c r="B21" s="337" t="inlineStr">
        <is>
          <t xml:space="preserve">Patrimônio</t>
        </is>
      </c>
      <c r="C21" s="338" t="inlineStr">
        <is>
          <t xml:space="preserve">Kaio · Gabriely</t>
        </is>
      </c>
      <c r="D21" s="340"/>
      <c r="E21" s="340"/>
      <c r="F21" s="340"/>
      <c r="G21" s="349" t="inlineStr">
        <is>
          <t xml:space="preserve">◆</t>
        </is>
      </c>
      <c r="H21" s="340"/>
      <c r="I21" s="340"/>
      <c r="J21" s="340"/>
      <c r="K21" s="340"/>
      <c r="L21" s="340"/>
      <c r="M21" s="340"/>
      <c r="N21" s="340"/>
      <c r="O21" s="340"/>
      <c r="P21" s="340"/>
      <c r="Q21" s="340"/>
    </row>
    <row r="22" ht="22" customHeight="1">
      <c r="B22" s="350" t="inlineStr">
        <is>
          <t xml:space="preserve">4 · Folha de pagamento</t>
        </is>
      </c>
      <c r="C22" s="351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</row>
    <row r="23" ht="22" customHeight="1">
      <c r="B23" s="337" t="inlineStr">
        <is>
          <t xml:space="preserve">Folha de pagamento</t>
        </is>
      </c>
      <c r="C23" s="338" t="inlineStr">
        <is>
          <t xml:space="preserve">Danilo · Elizete</t>
        </is>
      </c>
      <c r="D23" s="340"/>
      <c r="E23" s="340"/>
      <c r="F23" s="340"/>
      <c r="G23" s="340"/>
      <c r="H23" s="353" t="inlineStr">
        <is>
          <t xml:space="preserve">◆</t>
        </is>
      </c>
      <c r="I23" s="340"/>
      <c r="J23" s="340"/>
      <c r="K23" s="340"/>
      <c r="L23" s="340"/>
      <c r="M23" s="340"/>
      <c r="N23" s="340"/>
      <c r="O23" s="340"/>
      <c r="P23" s="340"/>
      <c r="Q23" s="340"/>
    </row>
    <row r="24" ht="22" customHeight="1">
      <c r="B24" s="354" t="inlineStr">
        <is>
          <t xml:space="preserve">5 · Apurações fiscais</t>
        </is>
      </c>
      <c r="C24" s="355" t="inlineStr">
        <is>
          <t xml:space="preserve">Impostos: entrega 5 dias úteis após o início das apurações</t>
        </is>
      </c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</row>
    <row r="25" ht="22" customHeight="1">
      <c r="B25" s="337" t="inlineStr">
        <is>
          <t xml:space="preserve">Apuração dos impostos (exceto PIS/COFINS)</t>
        </is>
      </c>
      <c r="C25" s="338" t="inlineStr">
        <is>
          <t xml:space="preserve">Joyce · Mariana</t>
        </is>
      </c>
      <c r="D25" s="340"/>
      <c r="E25" s="340"/>
      <c r="F25" s="340"/>
      <c r="G25" s="357" t="inlineStr">
        <is>
          <t xml:space="preserve">início</t>
        </is>
      </c>
      <c r="H25" s="358"/>
      <c r="I25" s="358"/>
      <c r="J25" s="358"/>
      <c r="K25" s="358"/>
      <c r="L25" s="359" t="inlineStr">
        <is>
          <t xml:space="preserve">◆</t>
        </is>
      </c>
      <c r="M25" s="340"/>
      <c r="N25" s="340"/>
      <c r="O25" s="340"/>
      <c r="P25" s="340"/>
      <c r="Q25" s="340"/>
    </row>
    <row r="26" ht="22" customHeight="1">
      <c r="B26" s="337" t="inlineStr">
        <is>
          <t xml:space="preserve">PIS/COFINS finalizado</t>
        </is>
      </c>
      <c r="C26" s="338" t="inlineStr">
        <is>
          <t xml:space="preserve">Joyce · Mariana</t>
        </is>
      </c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59" t="inlineStr">
        <is>
          <t xml:space="preserve">◆</t>
        </is>
      </c>
      <c r="P26" s="340"/>
      <c r="Q26" s="340"/>
    </row>
    <row r="27" ht="22" customHeight="1">
      <c r="B27" s="360" t="inlineStr">
        <is>
          <t xml:space="preserve">6 · Contabilidade e balancete fechado</t>
        </is>
      </c>
      <c r="C27" s="361" t="inlineStr">
        <is>
          <t xml:space="preserve">Começa no 3º d.u. e termina com o balancete fechado</t>
        </is>
      </c>
      <c r="D27" s="362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</row>
    <row r="28" ht="22" customHeight="1">
      <c r="B28" s="337" t="inlineStr">
        <is>
          <t xml:space="preserve">Contabilidade → balancete fechado</t>
        </is>
      </c>
      <c r="C28" s="338" t="inlineStr">
        <is>
          <t xml:space="preserve">Joyce · Equipe Contábil</t>
        </is>
      </c>
      <c r="D28" s="340"/>
      <c r="E28" s="340"/>
      <c r="F28" s="340"/>
      <c r="G28" s="363" t="inlineStr">
        <is>
          <t xml:space="preserve">início</t>
        </is>
      </c>
      <c r="H28" s="364"/>
      <c r="I28" s="364"/>
      <c r="J28" s="364"/>
      <c r="K28" s="364"/>
      <c r="L28" s="364"/>
      <c r="M28" s="364"/>
      <c r="N28" s="364"/>
      <c r="O28" s="364"/>
      <c r="P28" s="364"/>
      <c r="Q28" s="365" t="inlineStr">
        <is>
          <t xml:space="preserve">◆</t>
        </is>
      </c>
    </row>
    <row r="29"/>
    <row r="30" ht="20" customHeight="1">
      <c r="B30" s="366" t="inlineStr">
        <is>
          <t xml:space="preserve">LEGENDA</t>
        </is>
      </c>
      <c r="C30" s="367" t="inlineStr">
        <is>
          <t xml:space="preserve">◆  entrega / prazo final (até 18:00)     ■  período de execução     ···  depende de etapa anterior (sem prazo fixo)</t>
        </is>
      </c>
    </row>
    <row r="31" ht="18" customHeight="1">
      <c r="B31" s="368" t="inlineStr">
        <is>
          <t xml:space="preserve">Ordem do fluxo: áreas operacionais (último dia) → trava e validação fiscal (1º d.u.) → correções do time Comber (1º ao 2º d.u.) → apurações, contabilidade e financeiro (3º d.u.) → folha (4º d.u.) → impostos (8º d.u.) → PIS/COFINS (11º d.u.) → balancete fechado (13º d.u.).</t>
        </is>
      </c>
    </row>
    <row r="32" ht="18" customHeight="1">
      <c r="B32" s="368" t="inlineStr">
        <is>
          <t xml:space="preserve">Impostos: entrega 5 dias úteis após o início das apurações (3º d.u. + 5 = 8º d.u.). PIS/COFINS finalizado no 11º d.u.</t>
        </is>
      </c>
    </row>
    <row r="33" ht="18" customHeight="1">
      <c r="B33" s="368" t="inlineStr">
        <is>
          <t xml:space="preserve">Em paralelo do 3º ao 13º d.u.: apurações fiscais, contabilidade, financeiro/patrimônio (3º d.u.), folha (4º d.u.) e PIS/COFINS (11º d.u.). A contabilidade recebe a folha e os impostos.</t>
        </is>
      </c>
    </row>
    <row r="34" ht="18" customHeight="1">
      <c r="B34" s="368" t="inlineStr">
        <is>
          <t xml:space="preserve">Feriados e fins de semana não entram na contagem: as colunas mostram apenas dias úteis.</t>
        </is>
      </c>
    </row>
  </sheetData>
  <mergeCells count="13">
    <mergeCell ref="B2:Q2"/>
    <mergeCell ref="B3:Q3"/>
    <mergeCell ref="C9:Q9"/>
    <mergeCell ref="C14:Q14"/>
    <mergeCell ref="C17:Q17"/>
    <mergeCell ref="C22:Q22"/>
    <mergeCell ref="C24:Q24"/>
    <mergeCell ref="C27:Q27"/>
    <mergeCell ref="C30:Q30"/>
    <mergeCell ref="B31:Q31"/>
    <mergeCell ref="B32:Q32"/>
    <mergeCell ref="B33:Q33"/>
    <mergeCell ref="B34:Q34"/>
  </mergeCells>
  <pageMargins left="0.4" right="0.4" top="0.5" bottom="0.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6</vt:i4>
      </vt:variant>
    </vt:vector>
  </HeadingPairs>
  <TitlesOfParts>
    <vt:vector size="19" baseType="lpstr">
      <vt:lpstr>Principais Transações</vt:lpstr>
      <vt:lpstr>CAMINHOES (2)</vt:lpstr>
      <vt:lpstr>Resumo</vt:lpstr>
      <vt:lpstr>Resumo2</vt:lpstr>
      <vt:lpstr>Planilha1</vt:lpstr>
      <vt:lpstr>Consolidado- Comber</vt:lpstr>
      <vt:lpstr>HOLDING</vt:lpstr>
      <vt:lpstr>ListBox</vt:lpstr>
      <vt:lpstr>Cronograma Fechamento</vt:lpstr>
      <vt:lpstr>Planilha2</vt:lpstr>
      <vt:lpstr>Cards Fechamento</vt:lpstr>
      <vt:lpstr>Planilha3</vt:lpstr>
      <vt:lpstr>Texto E-mail</vt:lpstr>
      <vt:lpstr>'CAMINHOES (2)'!Area_de_impressao</vt:lpstr>
      <vt:lpstr>'Consolidado- Comber'!Area_de_impressao</vt:lpstr>
      <vt:lpstr>HOLDING!Area_de_impressao</vt:lpstr>
      <vt:lpstr>'CAMINHOES (2)'!Titulos_de_impressao</vt:lpstr>
      <vt:lpstr>'Consolidado- Comber'!Titulos_de_impressao</vt:lpstr>
      <vt:lpstr>HOLDING!Titulos_de_impressao</vt:lpstr>
    </vt:vector>
  </TitlesOfParts>
  <Manager/>
  <Company>Pepsico do Brasil Ltda.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Mucheironi</dc:creator>
  <cp:keywords/>
  <dc:description/>
  <cp:lastModifiedBy>Kaio Vieira</cp:lastModifiedBy>
  <cp:revision/>
  <dcterms:created xsi:type="dcterms:W3CDTF">2009-06-10T12:02:51Z</dcterms:created>
  <dcterms:modified xsi:type="dcterms:W3CDTF">2026-09-29T13:34:03Z</dcterms:modified>
  <cp:category/>
  <cp:contentStatus/>
</cp:coreProperties>
</file>